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dc98a2bd5c9fedb/Desktop/college sem/project/research reference/"/>
    </mc:Choice>
  </mc:AlternateContent>
  <xr:revisionPtr revIDLastSave="2" documentId="13_ncr:1_{5D9470D6-12F6-4330-8868-34348F1428D1}" xr6:coauthVersionLast="47" xr6:coauthVersionMax="47" xr10:uidLastSave="{8F8F0461-3AC8-47BA-B164-0473B6E7A87E}"/>
  <bookViews>
    <workbookView minimized="1" xWindow="3588" yWindow="3360" windowWidth="17028" windowHeight="8880" xr2:uid="{00000000-000D-0000-FFFF-FFFF00000000}"/>
  </bookViews>
  <sheets>
    <sheet name="Financial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1" l="1"/>
  <c r="X6" i="1"/>
  <c r="X7" i="1"/>
  <c r="X8" i="1"/>
  <c r="X9" i="1"/>
  <c r="X10" i="1"/>
  <c r="X11" i="1"/>
  <c r="X12" i="1"/>
  <c r="X13" i="1"/>
  <c r="X17" i="1"/>
  <c r="X18" i="1"/>
  <c r="X19" i="1"/>
  <c r="X20" i="1"/>
  <c r="X21" i="1"/>
  <c r="X22" i="1"/>
  <c r="X25" i="1"/>
  <c r="X26" i="1"/>
  <c r="X27" i="1"/>
  <c r="X29" i="1"/>
  <c r="X30" i="1"/>
  <c r="X31" i="1"/>
  <c r="X33" i="1"/>
  <c r="X34" i="1"/>
  <c r="X35" i="1"/>
  <c r="X38" i="1"/>
  <c r="X40" i="1"/>
  <c r="X41" i="1"/>
  <c r="X42" i="1"/>
  <c r="X43" i="1"/>
  <c r="Y8" i="1"/>
  <c r="Y9" i="1"/>
  <c r="Y16" i="1"/>
  <c r="Y17" i="1"/>
  <c r="Y24" i="1"/>
  <c r="Y25" i="1"/>
  <c r="Y32" i="1"/>
  <c r="Y33" i="1"/>
  <c r="Y40" i="1"/>
  <c r="Y41" i="1"/>
  <c r="W2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2" i="1"/>
  <c r="U3" i="1"/>
  <c r="U9" i="1"/>
  <c r="U10" i="1"/>
  <c r="U11" i="1"/>
  <c r="U17" i="1"/>
  <c r="U18" i="1"/>
  <c r="U19" i="1"/>
  <c r="U25" i="1"/>
  <c r="U26" i="1"/>
  <c r="U27" i="1"/>
  <c r="U33" i="1"/>
  <c r="U34" i="1"/>
  <c r="U35" i="1"/>
  <c r="U41" i="1"/>
  <c r="U42" i="1"/>
  <c r="U43" i="1"/>
  <c r="J6" i="1"/>
  <c r="Y6" i="1" s="1"/>
  <c r="J18" i="1"/>
  <c r="Y18" i="1" s="1"/>
  <c r="J19" i="1"/>
  <c r="Y19" i="1" s="1"/>
  <c r="J20" i="1"/>
  <c r="U20" i="1" s="1"/>
  <c r="J21" i="1"/>
  <c r="Y21" i="1" s="1"/>
  <c r="J22" i="1"/>
  <c r="Y22" i="1" s="1"/>
  <c r="J23" i="1"/>
  <c r="Y23" i="1" s="1"/>
  <c r="J24" i="1"/>
  <c r="X24" i="1" s="1"/>
  <c r="J25" i="1"/>
  <c r="J26" i="1"/>
  <c r="Y26" i="1" s="1"/>
  <c r="J27" i="1"/>
  <c r="Y27" i="1" s="1"/>
  <c r="J28" i="1"/>
  <c r="X28" i="1" s="1"/>
  <c r="J29" i="1"/>
  <c r="U29" i="1" s="1"/>
  <c r="J30" i="1"/>
  <c r="Y30" i="1" s="1"/>
  <c r="J31" i="1"/>
  <c r="Y31" i="1" s="1"/>
  <c r="J32" i="1"/>
  <c r="X32" i="1" s="1"/>
  <c r="J33" i="1"/>
  <c r="J34" i="1"/>
  <c r="Y34" i="1" s="1"/>
  <c r="J35" i="1"/>
  <c r="Y35" i="1" s="1"/>
  <c r="J36" i="1"/>
  <c r="X36" i="1" s="1"/>
  <c r="J37" i="1"/>
  <c r="X37" i="1" s="1"/>
  <c r="J38" i="1"/>
  <c r="Y38" i="1" s="1"/>
  <c r="J39" i="1"/>
  <c r="X39" i="1" s="1"/>
  <c r="J40" i="1"/>
  <c r="U40" i="1" s="1"/>
  <c r="J41" i="1"/>
  <c r="J42" i="1"/>
  <c r="Y42" i="1" s="1"/>
  <c r="J43" i="1"/>
  <c r="Y43" i="1" s="1"/>
  <c r="J3" i="1"/>
  <c r="Y3" i="1" s="1"/>
  <c r="J4" i="1"/>
  <c r="X4" i="1" s="1"/>
  <c r="J5" i="1"/>
  <c r="X5" i="1" s="1"/>
  <c r="J7" i="1"/>
  <c r="Y7" i="1" s="1"/>
  <c r="J8" i="1"/>
  <c r="U8" i="1" s="1"/>
  <c r="J9" i="1"/>
  <c r="J10" i="1"/>
  <c r="Y10" i="1" s="1"/>
  <c r="J11" i="1"/>
  <c r="Y11" i="1" s="1"/>
  <c r="J12" i="1"/>
  <c r="U12" i="1" s="1"/>
  <c r="J13" i="1"/>
  <c r="U13" i="1" s="1"/>
  <c r="J14" i="1"/>
  <c r="Y14" i="1" s="1"/>
  <c r="J15" i="1"/>
  <c r="Y15" i="1" s="1"/>
  <c r="J16" i="1"/>
  <c r="X16" i="1" s="1"/>
  <c r="J17" i="1"/>
  <c r="J2" i="1"/>
  <c r="X2" i="1" s="1"/>
  <c r="U39" i="1" l="1"/>
  <c r="U15" i="1"/>
  <c r="Y29" i="1"/>
  <c r="Y5" i="1"/>
  <c r="X23" i="1"/>
  <c r="U38" i="1"/>
  <c r="U30" i="1"/>
  <c r="U22" i="1"/>
  <c r="U14" i="1"/>
  <c r="U6" i="1"/>
  <c r="Y2" i="1"/>
  <c r="Y36" i="1"/>
  <c r="Y28" i="1"/>
  <c r="Y20" i="1"/>
  <c r="Y12" i="1"/>
  <c r="Y4" i="1"/>
  <c r="X14" i="1"/>
  <c r="Y39" i="1"/>
  <c r="U23" i="1"/>
  <c r="Y37" i="1"/>
  <c r="Y13" i="1"/>
  <c r="U37" i="1"/>
  <c r="U21" i="1"/>
  <c r="U5" i="1"/>
  <c r="U31" i="1"/>
  <c r="U7" i="1"/>
  <c r="X15" i="1"/>
  <c r="U2" i="1"/>
  <c r="U36" i="1"/>
  <c r="U28" i="1"/>
  <c r="U4" i="1"/>
  <c r="U32" i="1"/>
  <c r="U24" i="1"/>
  <c r="U16" i="1"/>
</calcChain>
</file>

<file path=xl/sharedStrings.xml><?xml version="1.0" encoding="utf-8"?>
<sst xmlns="http://schemas.openxmlformats.org/spreadsheetml/2006/main" count="165" uniqueCount="47">
  <si>
    <t>Season</t>
  </si>
  <si>
    <t>League</t>
  </si>
  <si>
    <t>Squad_Market_Value (M€)</t>
  </si>
  <si>
    <t>Average_Player_Value (M€)</t>
  </si>
  <si>
    <t>Squad_Size</t>
  </si>
  <si>
    <t>Average_Age</t>
  </si>
  <si>
    <t>Transfer_Expenditure (M€)</t>
  </si>
  <si>
    <t>Transfer_Income (M€)</t>
  </si>
  <si>
    <t>Net_Spend (M€)</t>
  </si>
  <si>
    <t>Wage_Bill (M€)</t>
  </si>
  <si>
    <t>Total_Revenue (M€)</t>
  </si>
  <si>
    <t>Profit_Loss (M€)</t>
  </si>
  <si>
    <t>League_Points</t>
  </si>
  <si>
    <t>League_Position</t>
  </si>
  <si>
    <t>UCL_Qualification (1/0)</t>
  </si>
  <si>
    <t>Wage_Efficiency</t>
  </si>
  <si>
    <t>Spend_to_Success</t>
  </si>
  <si>
    <t>Financial_Sustainability_Index</t>
  </si>
  <si>
    <t>21/22</t>
  </si>
  <si>
    <t>22/23</t>
  </si>
  <si>
    <t>23/24</t>
  </si>
  <si>
    <t>epl</t>
  </si>
  <si>
    <t>laliga</t>
  </si>
  <si>
    <t>bundesliga</t>
  </si>
  <si>
    <t>seria</t>
  </si>
  <si>
    <t>man city</t>
  </si>
  <si>
    <t>liverpool</t>
  </si>
  <si>
    <t>chelsea</t>
  </si>
  <si>
    <t>arsenal</t>
  </si>
  <si>
    <t>real madrid</t>
  </si>
  <si>
    <t>barcelona</t>
  </si>
  <si>
    <t>baryern</t>
  </si>
  <si>
    <t>leverkusen</t>
  </si>
  <si>
    <t>ac milan</t>
  </si>
  <si>
    <t>inter milan</t>
  </si>
  <si>
    <t>napoli</t>
  </si>
  <si>
    <t>dortmund</t>
  </si>
  <si>
    <t>real sociedad</t>
  </si>
  <si>
    <t>atalanta</t>
  </si>
  <si>
    <t>N/A</t>
  </si>
  <si>
    <t>won_league</t>
  </si>
  <si>
    <t>won_ucl</t>
  </si>
  <si>
    <t>won_uel</t>
  </si>
  <si>
    <t>won_domestic_cup</t>
  </si>
  <si>
    <t>Value_For_Money</t>
  </si>
  <si>
    <t>Squad_Value_Efficiency (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</si>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</sst>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85" zoomScaleNormal="85" workbookViewId="0">
      <pane xSplit="1" topLeftCell="B1" activePane="topRight" state="frozen"/>
      <selection pane="topRight" activeCell="D4" sqref="D4"/>
    </sheetView>
  </sheetViews>
  <sheetFormatPr defaultRowHeight="14.4" x14ac:dyDescent="0.3"/>
  <cols>
    <col min="2" max="2" width="11.33203125" customWidth="1"/>
    <col min="3" max="3" width="11.5546875" customWidth="1"/>
    <col min="4" max="4" width="24.77734375" customWidth="1"/>
    <col min="5" max="5" width="27.44140625" customWidth="1"/>
    <col min="6" max="6" width="14.44140625" customWidth="1"/>
    <col min="7" max="7" width="14" customWidth="1"/>
    <col min="8" max="8" width="24" customWidth="1"/>
    <col min="9" max="9" width="19.33203125" customWidth="1"/>
    <col min="10" max="10" width="25.44140625" customWidth="1"/>
    <col min="11" max="11" width="22" customWidth="1"/>
    <col min="12" max="12" width="26.77734375" customWidth="1"/>
    <col min="13" max="14" width="15.5546875" customWidth="1"/>
    <col min="15" max="15" width="14.109375" customWidth="1"/>
    <col min="16" max="20" width="23.44140625" customWidth="1"/>
    <col min="21" max="21" width="17.5546875" customWidth="1"/>
    <col min="22" max="22" width="21.21875" customWidth="1"/>
    <col min="23" max="23" width="34.77734375" customWidth="1"/>
    <col min="24" max="24" width="25.5546875" customWidth="1"/>
    <col min="25" max="25" width="29.5546875" customWidth="1"/>
  </cols>
  <sheetData>
    <row r="1" spans="1:25" x14ac:dyDescent="0.3">
      <c r="A1" t="s">
        <v>0</v>
      </c>
      <c r="B1" t="s">
        <v>1</v>
      </c>
      <c r="C1" t="s">
        <v>46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2" t="s">
        <v>40</v>
      </c>
      <c r="R1" s="2" t="s">
        <v>41</v>
      </c>
      <c r="S1" s="2" t="s">
        <v>42</v>
      </c>
      <c r="T1" s="2" t="s">
        <v>43</v>
      </c>
      <c r="U1" t="s">
        <v>44</v>
      </c>
      <c r="V1" t="s">
        <v>45</v>
      </c>
      <c r="W1" t="s">
        <v>15</v>
      </c>
      <c r="X1" t="s">
        <v>16</v>
      </c>
      <c r="Y1" t="s">
        <v>17</v>
      </c>
    </row>
    <row r="2" spans="1:25" x14ac:dyDescent="0.3">
      <c r="A2" t="s">
        <v>18</v>
      </c>
      <c r="B2" t="s">
        <v>21</v>
      </c>
      <c r="C2" t="s">
        <v>25</v>
      </c>
      <c r="D2">
        <v>1000</v>
      </c>
      <c r="E2">
        <v>25.74</v>
      </c>
      <c r="F2">
        <v>39</v>
      </c>
      <c r="G2">
        <v>24.7</v>
      </c>
      <c r="H2">
        <v>138.9</v>
      </c>
      <c r="I2">
        <v>93.8</v>
      </c>
      <c r="J2">
        <f>H2-I2</f>
        <v>45.100000000000009</v>
      </c>
      <c r="K2">
        <v>168.572</v>
      </c>
      <c r="L2">
        <v>731</v>
      </c>
      <c r="M2">
        <v>1</v>
      </c>
      <c r="N2">
        <v>93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f>N2/J2</f>
        <v>2.0620842572062079</v>
      </c>
      <c r="V2">
        <f>N2/D2</f>
        <v>9.2999999999999999E-2</v>
      </c>
      <c r="W2">
        <f>N2/K2</f>
        <v>0.55169304510832162</v>
      </c>
      <c r="X2">
        <f>IF(SUM(Q2:T2)&gt;0, J2/SUM(Q2:T2), "No Trophies")</f>
        <v>45.100000000000009</v>
      </c>
      <c r="Y2">
        <f>IFERROR(L2 - K2 - J2, "Insufficient Data")</f>
        <v>517.32799999999997</v>
      </c>
    </row>
    <row r="3" spans="1:25" x14ac:dyDescent="0.3">
      <c r="A3" t="s">
        <v>19</v>
      </c>
      <c r="B3" t="s">
        <v>21</v>
      </c>
      <c r="C3" t="s">
        <v>25</v>
      </c>
      <c r="D3">
        <v>1150</v>
      </c>
      <c r="E3">
        <v>33.700000000000003</v>
      </c>
      <c r="F3">
        <v>34</v>
      </c>
      <c r="G3">
        <v>26</v>
      </c>
      <c r="H3">
        <v>155</v>
      </c>
      <c r="I3">
        <v>162.16999999999999</v>
      </c>
      <c r="J3">
        <f t="shared" ref="J3:J43" si="0">H3-I3</f>
        <v>-7.1699999999999875</v>
      </c>
      <c r="K3">
        <v>199.16</v>
      </c>
      <c r="L3">
        <v>825.9</v>
      </c>
      <c r="M3">
        <v>1</v>
      </c>
      <c r="N3">
        <v>89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f t="shared" ref="U3:U43" si="1">N3/J3</f>
        <v>-12.412831241283145</v>
      </c>
      <c r="V3">
        <f t="shared" ref="V3:V43" si="2">N3/D3</f>
        <v>7.7391304347826081E-2</v>
      </c>
      <c r="W3">
        <f t="shared" ref="W3:W43" si="3">N3/K3</f>
        <v>0.44687688290821453</v>
      </c>
      <c r="X3">
        <f t="shared" ref="X3:X43" si="4">IF(SUM(Q3:T3)&gt;0, J3/SUM(Q3:T3), "No Trophies")</f>
        <v>-2.3899999999999957</v>
      </c>
      <c r="Y3">
        <f t="shared" ref="Y3:Y43" si="5">IFERROR(L3 - K3 - J3, "Insufficient Data")</f>
        <v>633.91</v>
      </c>
    </row>
    <row r="4" spans="1:25" x14ac:dyDescent="0.3">
      <c r="A4" t="s">
        <v>20</v>
      </c>
      <c r="B4" t="s">
        <v>21</v>
      </c>
      <c r="C4" t="s">
        <v>25</v>
      </c>
      <c r="D4">
        <v>1460</v>
      </c>
      <c r="E4">
        <v>40.630000000000003</v>
      </c>
      <c r="F4">
        <v>36</v>
      </c>
      <c r="G4">
        <v>25.7</v>
      </c>
      <c r="H4">
        <v>259.60000000000002</v>
      </c>
      <c r="I4">
        <v>138.80000000000001</v>
      </c>
      <c r="J4">
        <f t="shared" si="0"/>
        <v>120.80000000000001</v>
      </c>
      <c r="K4">
        <v>196.87200000000001</v>
      </c>
      <c r="L4">
        <v>837.8</v>
      </c>
      <c r="M4">
        <v>1</v>
      </c>
      <c r="N4">
        <v>91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f t="shared" si="1"/>
        <v>0.7533112582781456</v>
      </c>
      <c r="V4">
        <f t="shared" si="2"/>
        <v>6.2328767123287672E-2</v>
      </c>
      <c r="W4">
        <f t="shared" si="3"/>
        <v>0.46222926571579498</v>
      </c>
      <c r="X4">
        <f t="shared" si="4"/>
        <v>120.80000000000001</v>
      </c>
      <c r="Y4">
        <f t="shared" si="5"/>
        <v>520.12799999999993</v>
      </c>
    </row>
    <row r="5" spans="1:25" x14ac:dyDescent="0.3">
      <c r="A5" t="s">
        <v>18</v>
      </c>
      <c r="B5" t="s">
        <v>21</v>
      </c>
      <c r="C5" t="s">
        <v>26</v>
      </c>
      <c r="D5">
        <v>918.9</v>
      </c>
      <c r="E5">
        <v>18.75</v>
      </c>
      <c r="F5">
        <v>49</v>
      </c>
      <c r="G5">
        <v>24.5</v>
      </c>
      <c r="H5">
        <v>89</v>
      </c>
      <c r="I5">
        <v>31.65</v>
      </c>
      <c r="J5">
        <f t="shared" si="0"/>
        <v>57.35</v>
      </c>
      <c r="K5">
        <v>155.012</v>
      </c>
      <c r="L5">
        <v>701.7</v>
      </c>
      <c r="M5">
        <v>1</v>
      </c>
      <c r="N5">
        <v>92</v>
      </c>
      <c r="O5">
        <v>2</v>
      </c>
      <c r="P5">
        <v>1</v>
      </c>
      <c r="Q5">
        <v>0</v>
      </c>
      <c r="R5">
        <v>0</v>
      </c>
      <c r="S5">
        <v>0</v>
      </c>
      <c r="T5">
        <v>1</v>
      </c>
      <c r="U5">
        <f t="shared" si="1"/>
        <v>1.6041848299912815</v>
      </c>
      <c r="V5">
        <f t="shared" si="2"/>
        <v>0.10011970834693655</v>
      </c>
      <c r="W5">
        <f t="shared" si="3"/>
        <v>0.59350243852088869</v>
      </c>
      <c r="X5">
        <f t="shared" si="4"/>
        <v>57.35</v>
      </c>
      <c r="Y5">
        <f t="shared" si="5"/>
        <v>489.33800000000008</v>
      </c>
    </row>
    <row r="6" spans="1:25" x14ac:dyDescent="0.3">
      <c r="A6" t="s">
        <v>19</v>
      </c>
      <c r="B6" t="s">
        <v>21</v>
      </c>
      <c r="C6" t="s">
        <v>26</v>
      </c>
      <c r="D6">
        <v>811.85</v>
      </c>
      <c r="E6">
        <v>20.82</v>
      </c>
      <c r="F6">
        <v>39</v>
      </c>
      <c r="G6">
        <v>25.6</v>
      </c>
      <c r="H6">
        <v>140.9</v>
      </c>
      <c r="I6">
        <v>80.099999999999994</v>
      </c>
      <c r="J6">
        <f>H6-I6</f>
        <v>60.800000000000011</v>
      </c>
      <c r="K6">
        <v>170.82</v>
      </c>
      <c r="L6">
        <v>682.9</v>
      </c>
      <c r="M6">
        <v>0</v>
      </c>
      <c r="N6">
        <v>84</v>
      </c>
      <c r="O6">
        <v>5</v>
      </c>
      <c r="P6">
        <v>1</v>
      </c>
      <c r="Q6">
        <v>0</v>
      </c>
      <c r="R6">
        <v>0</v>
      </c>
      <c r="S6">
        <v>0</v>
      </c>
      <c r="T6">
        <v>0</v>
      </c>
      <c r="U6">
        <f t="shared" si="1"/>
        <v>1.3815789473684208</v>
      </c>
      <c r="V6">
        <f t="shared" si="2"/>
        <v>0.10346738929605222</v>
      </c>
      <c r="W6">
        <f t="shared" si="3"/>
        <v>0.49174569722514933</v>
      </c>
      <c r="X6" t="str">
        <f t="shared" si="4"/>
        <v>No Trophies</v>
      </c>
      <c r="Y6">
        <f t="shared" si="5"/>
        <v>451.27999999999992</v>
      </c>
    </row>
    <row r="7" spans="1:25" x14ac:dyDescent="0.3">
      <c r="A7" t="s">
        <v>20</v>
      </c>
      <c r="B7" t="s">
        <v>21</v>
      </c>
      <c r="C7" t="s">
        <v>26</v>
      </c>
      <c r="D7">
        <v>955.65</v>
      </c>
      <c r="E7">
        <v>21.24</v>
      </c>
      <c r="F7">
        <v>45</v>
      </c>
      <c r="G7">
        <v>24.2</v>
      </c>
      <c r="H7">
        <v>172</v>
      </c>
      <c r="I7">
        <v>60.7</v>
      </c>
      <c r="J7">
        <f t="shared" si="0"/>
        <v>111.3</v>
      </c>
      <c r="K7">
        <v>141.96</v>
      </c>
      <c r="L7">
        <v>714.7</v>
      </c>
      <c r="M7">
        <v>0</v>
      </c>
      <c r="N7">
        <v>82</v>
      </c>
      <c r="O7">
        <v>3</v>
      </c>
      <c r="P7">
        <v>0</v>
      </c>
      <c r="Q7">
        <v>0</v>
      </c>
      <c r="R7">
        <v>0</v>
      </c>
      <c r="S7">
        <v>0</v>
      </c>
      <c r="T7">
        <v>0</v>
      </c>
      <c r="U7">
        <f t="shared" si="1"/>
        <v>0.73674752920035935</v>
      </c>
      <c r="V7">
        <f t="shared" si="2"/>
        <v>8.5805472714906086E-2</v>
      </c>
      <c r="W7">
        <f t="shared" si="3"/>
        <v>0.5776275007044237</v>
      </c>
      <c r="X7" t="str">
        <f t="shared" si="4"/>
        <v>No Trophies</v>
      </c>
      <c r="Y7">
        <f t="shared" si="5"/>
        <v>461.44</v>
      </c>
    </row>
    <row r="8" spans="1:25" x14ac:dyDescent="0.3">
      <c r="A8" t="s">
        <v>18</v>
      </c>
      <c r="B8" t="s">
        <v>21</v>
      </c>
      <c r="C8" t="s">
        <v>27</v>
      </c>
      <c r="D8">
        <v>914.5</v>
      </c>
      <c r="E8">
        <v>20.78</v>
      </c>
      <c r="F8">
        <v>44</v>
      </c>
      <c r="G8">
        <v>25.6</v>
      </c>
      <c r="H8">
        <v>118</v>
      </c>
      <c r="I8">
        <v>157.59</v>
      </c>
      <c r="J8">
        <f t="shared" si="0"/>
        <v>-39.590000000000003</v>
      </c>
      <c r="K8">
        <v>187.34</v>
      </c>
      <c r="L8">
        <v>568.29999999999995</v>
      </c>
      <c r="M8">
        <v>0</v>
      </c>
      <c r="N8">
        <v>74</v>
      </c>
      <c r="O8">
        <v>3</v>
      </c>
      <c r="P8">
        <v>1</v>
      </c>
      <c r="Q8">
        <v>0</v>
      </c>
      <c r="R8">
        <v>0</v>
      </c>
      <c r="S8">
        <v>0</v>
      </c>
      <c r="T8">
        <v>0</v>
      </c>
      <c r="U8">
        <f t="shared" si="1"/>
        <v>-1.8691588785046727</v>
      </c>
      <c r="V8">
        <f t="shared" si="2"/>
        <v>8.0918534718425375E-2</v>
      </c>
      <c r="W8">
        <f t="shared" si="3"/>
        <v>0.39500373652183196</v>
      </c>
      <c r="X8" t="str">
        <f t="shared" si="4"/>
        <v>No Trophies</v>
      </c>
      <c r="Y8">
        <f t="shared" si="5"/>
        <v>420.54999999999995</v>
      </c>
    </row>
    <row r="9" spans="1:25" x14ac:dyDescent="0.3">
      <c r="A9" t="s">
        <v>19</v>
      </c>
      <c r="B9" t="s">
        <v>21</v>
      </c>
      <c r="C9" t="s">
        <v>27</v>
      </c>
      <c r="D9">
        <v>994.95</v>
      </c>
      <c r="E9">
        <v>23.14</v>
      </c>
      <c r="F9">
        <v>43</v>
      </c>
      <c r="G9">
        <v>25.2</v>
      </c>
      <c r="H9">
        <v>630.25</v>
      </c>
      <c r="I9">
        <v>67.86</v>
      </c>
      <c r="J9">
        <f t="shared" si="0"/>
        <v>562.39</v>
      </c>
      <c r="K9">
        <v>226.56399999999999</v>
      </c>
      <c r="L9">
        <v>589.4</v>
      </c>
      <c r="M9">
        <v>0</v>
      </c>
      <c r="N9">
        <v>44</v>
      </c>
      <c r="O9">
        <v>12</v>
      </c>
      <c r="P9">
        <v>1</v>
      </c>
      <c r="Q9">
        <v>0</v>
      </c>
      <c r="R9">
        <v>0</v>
      </c>
      <c r="S9">
        <v>0</v>
      </c>
      <c r="T9">
        <v>0</v>
      </c>
      <c r="U9">
        <f t="shared" si="1"/>
        <v>7.8237522004303062E-2</v>
      </c>
      <c r="V9">
        <f t="shared" si="2"/>
        <v>4.4223327805417358E-2</v>
      </c>
      <c r="W9">
        <f t="shared" si="3"/>
        <v>0.19420561077664589</v>
      </c>
      <c r="X9" t="str">
        <f t="shared" si="4"/>
        <v>No Trophies</v>
      </c>
      <c r="Y9">
        <f t="shared" si="5"/>
        <v>-199.55399999999997</v>
      </c>
    </row>
    <row r="10" spans="1:25" x14ac:dyDescent="0.3">
      <c r="A10" t="s">
        <v>20</v>
      </c>
      <c r="B10" t="s">
        <v>21</v>
      </c>
      <c r="C10" t="s">
        <v>27</v>
      </c>
      <c r="D10">
        <v>1010</v>
      </c>
      <c r="E10">
        <v>18.100000000000001</v>
      </c>
      <c r="F10">
        <v>56</v>
      </c>
      <c r="G10">
        <v>22.2</v>
      </c>
      <c r="H10">
        <v>464.1</v>
      </c>
      <c r="I10">
        <v>282.2</v>
      </c>
      <c r="J10">
        <f t="shared" si="0"/>
        <v>181.90000000000003</v>
      </c>
      <c r="K10">
        <v>157.16999999999999</v>
      </c>
      <c r="L10">
        <v>545.5</v>
      </c>
      <c r="M10">
        <v>1</v>
      </c>
      <c r="N10">
        <v>63</v>
      </c>
      <c r="O10">
        <v>6</v>
      </c>
      <c r="P10">
        <v>0</v>
      </c>
      <c r="Q10">
        <v>0</v>
      </c>
      <c r="R10">
        <v>0</v>
      </c>
      <c r="S10">
        <v>0</v>
      </c>
      <c r="T10">
        <v>0</v>
      </c>
      <c r="U10">
        <f t="shared" si="1"/>
        <v>0.34634414513468931</v>
      </c>
      <c r="V10">
        <f t="shared" si="2"/>
        <v>6.2376237623762376E-2</v>
      </c>
      <c r="W10">
        <f t="shared" si="3"/>
        <v>0.40083985493414775</v>
      </c>
      <c r="X10" t="str">
        <f t="shared" si="4"/>
        <v>No Trophies</v>
      </c>
      <c r="Y10">
        <f t="shared" si="5"/>
        <v>206.43</v>
      </c>
    </row>
    <row r="11" spans="1:25" x14ac:dyDescent="0.3">
      <c r="A11" t="s">
        <v>18</v>
      </c>
      <c r="B11" t="s">
        <v>21</v>
      </c>
      <c r="C11" t="s">
        <v>28</v>
      </c>
      <c r="D11">
        <v>613.04999999999995</v>
      </c>
      <c r="E11">
        <v>14.95</v>
      </c>
      <c r="F11">
        <v>41</v>
      </c>
      <c r="G11">
        <v>24</v>
      </c>
      <c r="H11">
        <v>167.4</v>
      </c>
      <c r="I11">
        <v>31.4</v>
      </c>
      <c r="J11">
        <f t="shared" si="0"/>
        <v>136</v>
      </c>
      <c r="K11">
        <v>118.074</v>
      </c>
      <c r="L11">
        <v>433.5</v>
      </c>
      <c r="M11">
        <v>0</v>
      </c>
      <c r="N11">
        <v>69</v>
      </c>
      <c r="O11">
        <v>5</v>
      </c>
      <c r="P11">
        <v>0</v>
      </c>
      <c r="Q11">
        <v>0</v>
      </c>
      <c r="R11">
        <v>0</v>
      </c>
      <c r="S11">
        <v>0</v>
      </c>
      <c r="T11">
        <v>0</v>
      </c>
      <c r="U11">
        <f t="shared" si="1"/>
        <v>0.50735294117647056</v>
      </c>
      <c r="V11">
        <f t="shared" si="2"/>
        <v>0.11255199412772206</v>
      </c>
      <c r="W11">
        <f t="shared" si="3"/>
        <v>0.58437928756542512</v>
      </c>
      <c r="X11" t="str">
        <f t="shared" si="4"/>
        <v>No Trophies</v>
      </c>
      <c r="Y11">
        <f t="shared" si="5"/>
        <v>179.42599999999999</v>
      </c>
    </row>
    <row r="12" spans="1:25" x14ac:dyDescent="0.3">
      <c r="A12" t="s">
        <v>19</v>
      </c>
      <c r="B12" t="s">
        <v>21</v>
      </c>
      <c r="C12" t="s">
        <v>28</v>
      </c>
      <c r="D12">
        <v>1000</v>
      </c>
      <c r="E12">
        <v>23.83</v>
      </c>
      <c r="F12">
        <v>42</v>
      </c>
      <c r="G12">
        <v>24</v>
      </c>
      <c r="H12">
        <v>186.4</v>
      </c>
      <c r="I12">
        <v>23.8</v>
      </c>
      <c r="J12">
        <f t="shared" si="0"/>
        <v>162.6</v>
      </c>
      <c r="K12">
        <v>133.01599999999999</v>
      </c>
      <c r="L12">
        <v>532.6</v>
      </c>
      <c r="M12">
        <v>0</v>
      </c>
      <c r="N12">
        <v>84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f t="shared" si="1"/>
        <v>0.51660516605166051</v>
      </c>
      <c r="V12">
        <f t="shared" si="2"/>
        <v>8.4000000000000005E-2</v>
      </c>
      <c r="W12">
        <f t="shared" si="3"/>
        <v>0.63150297708546344</v>
      </c>
      <c r="X12" t="str">
        <f t="shared" si="4"/>
        <v>No Trophies</v>
      </c>
      <c r="Y12">
        <f t="shared" si="5"/>
        <v>236.98400000000007</v>
      </c>
    </row>
    <row r="13" spans="1:25" x14ac:dyDescent="0.3">
      <c r="A13" t="s">
        <v>20</v>
      </c>
      <c r="B13" t="s">
        <v>21</v>
      </c>
      <c r="C13" t="s">
        <v>28</v>
      </c>
      <c r="D13">
        <v>1200</v>
      </c>
      <c r="E13">
        <v>30.08</v>
      </c>
      <c r="F13">
        <v>40</v>
      </c>
      <c r="G13">
        <v>24.6</v>
      </c>
      <c r="H13">
        <v>235.1</v>
      </c>
      <c r="I13">
        <v>69.2</v>
      </c>
      <c r="J13">
        <f t="shared" si="0"/>
        <v>165.89999999999998</v>
      </c>
      <c r="K13">
        <v>171.49600000000001</v>
      </c>
      <c r="L13">
        <v>716.5</v>
      </c>
      <c r="M13">
        <v>0</v>
      </c>
      <c r="N13">
        <v>89</v>
      </c>
      <c r="O13">
        <v>2</v>
      </c>
      <c r="P13">
        <v>1</v>
      </c>
      <c r="Q13">
        <v>0</v>
      </c>
      <c r="R13">
        <v>0</v>
      </c>
      <c r="S13">
        <v>0</v>
      </c>
      <c r="T13">
        <v>0</v>
      </c>
      <c r="U13">
        <f t="shared" si="1"/>
        <v>0.53646775165762517</v>
      </c>
      <c r="V13">
        <f t="shared" si="2"/>
        <v>7.4166666666666672E-2</v>
      </c>
      <c r="W13">
        <f t="shared" si="3"/>
        <v>0.51896254140038245</v>
      </c>
      <c r="X13" t="str">
        <f t="shared" si="4"/>
        <v>No Trophies</v>
      </c>
      <c r="Y13">
        <f t="shared" si="5"/>
        <v>379.10400000000004</v>
      </c>
    </row>
    <row r="14" spans="1:25" x14ac:dyDescent="0.3">
      <c r="A14" t="s">
        <v>18</v>
      </c>
      <c r="B14" t="s">
        <v>22</v>
      </c>
      <c r="C14" t="s">
        <v>29</v>
      </c>
      <c r="D14">
        <v>1400</v>
      </c>
      <c r="E14">
        <v>56.04</v>
      </c>
      <c r="F14">
        <v>25</v>
      </c>
      <c r="G14">
        <v>26</v>
      </c>
      <c r="H14">
        <v>31</v>
      </c>
      <c r="I14">
        <v>78</v>
      </c>
      <c r="J14">
        <f t="shared" si="0"/>
        <v>-47</v>
      </c>
      <c r="K14">
        <v>340.75</v>
      </c>
      <c r="L14">
        <v>713.8</v>
      </c>
      <c r="M14">
        <v>1</v>
      </c>
      <c r="N14">
        <v>86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f t="shared" si="1"/>
        <v>-1.8297872340425532</v>
      </c>
      <c r="V14">
        <f t="shared" si="2"/>
        <v>6.142857142857143E-2</v>
      </c>
      <c r="W14">
        <f t="shared" si="3"/>
        <v>0.2523844460748349</v>
      </c>
      <c r="X14">
        <f t="shared" si="4"/>
        <v>-23.5</v>
      </c>
      <c r="Y14">
        <f t="shared" si="5"/>
        <v>420.04999999999995</v>
      </c>
    </row>
    <row r="15" spans="1:25" x14ac:dyDescent="0.3">
      <c r="A15" t="s">
        <v>19</v>
      </c>
      <c r="B15" t="s">
        <v>22</v>
      </c>
      <c r="C15" t="s">
        <v>29</v>
      </c>
      <c r="D15">
        <v>923.45</v>
      </c>
      <c r="E15">
        <v>25.65</v>
      </c>
      <c r="F15">
        <v>36</v>
      </c>
      <c r="G15">
        <v>25.9</v>
      </c>
      <c r="H15">
        <v>80</v>
      </c>
      <c r="I15">
        <v>99.15</v>
      </c>
      <c r="J15">
        <f t="shared" si="0"/>
        <v>-19.150000000000006</v>
      </c>
      <c r="K15" s="1">
        <v>305.33</v>
      </c>
      <c r="L15">
        <v>831.4</v>
      </c>
      <c r="M15">
        <v>1</v>
      </c>
      <c r="N15">
        <v>78</v>
      </c>
      <c r="O15">
        <v>2</v>
      </c>
      <c r="P15">
        <v>1</v>
      </c>
      <c r="Q15">
        <v>0</v>
      </c>
      <c r="R15">
        <v>0</v>
      </c>
      <c r="S15">
        <v>0</v>
      </c>
      <c r="T15">
        <v>1</v>
      </c>
      <c r="U15">
        <f t="shared" si="1"/>
        <v>-4.0731070496083541</v>
      </c>
      <c r="V15">
        <f t="shared" si="2"/>
        <v>8.4465861714223836E-2</v>
      </c>
      <c r="W15">
        <f t="shared" si="3"/>
        <v>0.25546130416270924</v>
      </c>
      <c r="X15">
        <f t="shared" si="4"/>
        <v>-19.150000000000006</v>
      </c>
      <c r="Y15">
        <f t="shared" si="5"/>
        <v>545.21999999999991</v>
      </c>
    </row>
    <row r="16" spans="1:25" x14ac:dyDescent="0.3">
      <c r="A16" t="s">
        <v>20</v>
      </c>
      <c r="B16" t="s">
        <v>22</v>
      </c>
      <c r="C16" t="s">
        <v>29</v>
      </c>
      <c r="D16">
        <v>1140</v>
      </c>
      <c r="E16">
        <v>30.68</v>
      </c>
      <c r="F16">
        <v>37</v>
      </c>
      <c r="G16">
        <v>25.6</v>
      </c>
      <c r="H16">
        <v>159.5</v>
      </c>
      <c r="I16">
        <v>7</v>
      </c>
      <c r="J16">
        <f t="shared" si="0"/>
        <v>152.5</v>
      </c>
      <c r="K16">
        <v>301.60000000000002</v>
      </c>
      <c r="L16">
        <v>1045.5</v>
      </c>
      <c r="M16">
        <v>1</v>
      </c>
      <c r="N16">
        <v>95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f t="shared" si="1"/>
        <v>0.62295081967213117</v>
      </c>
      <c r="V16">
        <f t="shared" si="2"/>
        <v>8.3333333333333329E-2</v>
      </c>
      <c r="W16">
        <f t="shared" si="3"/>
        <v>0.31498673740053046</v>
      </c>
      <c r="X16">
        <f t="shared" si="4"/>
        <v>76.25</v>
      </c>
      <c r="Y16">
        <f t="shared" si="5"/>
        <v>591.4</v>
      </c>
    </row>
    <row r="17" spans="1:25" x14ac:dyDescent="0.3">
      <c r="A17" t="s">
        <v>18</v>
      </c>
      <c r="B17" t="s">
        <v>22</v>
      </c>
      <c r="C17" t="s">
        <v>30</v>
      </c>
      <c r="D17">
        <v>1110</v>
      </c>
      <c r="E17">
        <v>46.38</v>
      </c>
      <c r="F17">
        <v>24</v>
      </c>
      <c r="G17">
        <v>25.3</v>
      </c>
      <c r="H17">
        <v>69.5</v>
      </c>
      <c r="I17">
        <v>95.36</v>
      </c>
      <c r="J17">
        <f t="shared" si="0"/>
        <v>-25.86</v>
      </c>
      <c r="K17">
        <v>263.86500000000001</v>
      </c>
      <c r="L17">
        <v>638.20000000000005</v>
      </c>
      <c r="M17">
        <v>1</v>
      </c>
      <c r="N17">
        <v>73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  <c r="U17">
        <f t="shared" si="1"/>
        <v>-2.822892498066512</v>
      </c>
      <c r="V17">
        <f t="shared" si="2"/>
        <v>6.576576576576576E-2</v>
      </c>
      <c r="W17">
        <f t="shared" si="3"/>
        <v>0.27665662365224641</v>
      </c>
      <c r="X17" t="str">
        <f t="shared" si="4"/>
        <v>No Trophies</v>
      </c>
      <c r="Y17">
        <f t="shared" si="5"/>
        <v>400.19500000000005</v>
      </c>
    </row>
    <row r="18" spans="1:25" x14ac:dyDescent="0.3">
      <c r="A18" t="s">
        <v>19</v>
      </c>
      <c r="B18" t="s">
        <v>22</v>
      </c>
      <c r="C18" t="s">
        <v>30</v>
      </c>
      <c r="D18">
        <v>836.8</v>
      </c>
      <c r="E18">
        <v>20.41</v>
      </c>
      <c r="F18">
        <v>41</v>
      </c>
      <c r="G18">
        <v>24.4</v>
      </c>
      <c r="H18">
        <v>159</v>
      </c>
      <c r="I18">
        <v>39.5</v>
      </c>
      <c r="J18">
        <f t="shared" si="0"/>
        <v>119.5</v>
      </c>
      <c r="K18">
        <v>239.51</v>
      </c>
      <c r="L18">
        <v>800.1</v>
      </c>
      <c r="M18">
        <v>1</v>
      </c>
      <c r="N18">
        <v>88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f t="shared" si="1"/>
        <v>0.7364016736401674</v>
      </c>
      <c r="V18">
        <f t="shared" si="2"/>
        <v>0.10516252390057362</v>
      </c>
      <c r="W18">
        <f t="shared" si="3"/>
        <v>0.36741680931902637</v>
      </c>
      <c r="X18">
        <f t="shared" si="4"/>
        <v>119.5</v>
      </c>
      <c r="Y18">
        <f t="shared" si="5"/>
        <v>441.09000000000003</v>
      </c>
    </row>
    <row r="19" spans="1:25" x14ac:dyDescent="0.3">
      <c r="A19" t="s">
        <v>20</v>
      </c>
      <c r="B19" t="s">
        <v>22</v>
      </c>
      <c r="C19" t="s">
        <v>30</v>
      </c>
      <c r="D19">
        <v>916.2</v>
      </c>
      <c r="E19">
        <v>24.22</v>
      </c>
      <c r="F19">
        <v>38</v>
      </c>
      <c r="G19">
        <v>24</v>
      </c>
      <c r="H19">
        <v>33.4</v>
      </c>
      <c r="I19">
        <v>131.69999999999999</v>
      </c>
      <c r="J19">
        <f t="shared" si="0"/>
        <v>-98.299999999999983</v>
      </c>
      <c r="K19">
        <v>201.01</v>
      </c>
      <c r="L19">
        <v>760.3</v>
      </c>
      <c r="M19">
        <v>0</v>
      </c>
      <c r="N19">
        <v>85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f t="shared" si="1"/>
        <v>-0.86469989827060034</v>
      </c>
      <c r="V19">
        <f t="shared" si="2"/>
        <v>9.2774503383540707E-2</v>
      </c>
      <c r="W19">
        <f t="shared" si="3"/>
        <v>0.42286453410278096</v>
      </c>
      <c r="X19" t="str">
        <f t="shared" si="4"/>
        <v>No Trophies</v>
      </c>
      <c r="Y19">
        <f t="shared" si="5"/>
        <v>657.58999999999992</v>
      </c>
    </row>
    <row r="20" spans="1:25" x14ac:dyDescent="0.3">
      <c r="A20" t="s">
        <v>18</v>
      </c>
      <c r="B20" t="s">
        <v>22</v>
      </c>
      <c r="C20" t="s">
        <v>37</v>
      </c>
      <c r="D20">
        <v>252.9</v>
      </c>
      <c r="E20">
        <v>9.73</v>
      </c>
      <c r="F20">
        <v>26</v>
      </c>
      <c r="G20">
        <v>26</v>
      </c>
      <c r="H20">
        <v>2.5</v>
      </c>
      <c r="I20">
        <v>0.96</v>
      </c>
      <c r="J20">
        <f t="shared" si="0"/>
        <v>1.54</v>
      </c>
      <c r="K20">
        <v>48.7</v>
      </c>
      <c r="L20" t="s">
        <v>39</v>
      </c>
      <c r="M20" t="s">
        <v>39</v>
      </c>
      <c r="N20">
        <v>62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f t="shared" si="1"/>
        <v>40.259740259740262</v>
      </c>
      <c r="V20">
        <f t="shared" si="2"/>
        <v>0.24515618821668644</v>
      </c>
      <c r="W20">
        <f t="shared" si="3"/>
        <v>1.2731006160164271</v>
      </c>
      <c r="X20" t="str">
        <f t="shared" si="4"/>
        <v>No Trophies</v>
      </c>
      <c r="Y20" t="str">
        <f t="shared" si="5"/>
        <v>Insufficient Data</v>
      </c>
    </row>
    <row r="21" spans="1:25" x14ac:dyDescent="0.3">
      <c r="A21" t="s">
        <v>19</v>
      </c>
      <c r="B21" t="s">
        <v>22</v>
      </c>
      <c r="C21" t="s">
        <v>37</v>
      </c>
      <c r="D21">
        <v>441.7</v>
      </c>
      <c r="E21">
        <v>11.94</v>
      </c>
      <c r="F21">
        <v>37</v>
      </c>
      <c r="G21">
        <v>25</v>
      </c>
      <c r="H21">
        <v>55</v>
      </c>
      <c r="I21">
        <v>88</v>
      </c>
      <c r="J21">
        <f t="shared" si="0"/>
        <v>-33</v>
      </c>
      <c r="K21">
        <v>53.73</v>
      </c>
      <c r="L21" t="s">
        <v>39</v>
      </c>
      <c r="M21" t="s">
        <v>39</v>
      </c>
      <c r="N21">
        <v>71</v>
      </c>
      <c r="O21">
        <v>4</v>
      </c>
      <c r="P21">
        <v>0</v>
      </c>
      <c r="Q21">
        <v>0</v>
      </c>
      <c r="R21">
        <v>0</v>
      </c>
      <c r="S21">
        <v>0</v>
      </c>
      <c r="T21">
        <v>0</v>
      </c>
      <c r="U21">
        <f t="shared" si="1"/>
        <v>-2.1515151515151514</v>
      </c>
      <c r="V21">
        <f t="shared" si="2"/>
        <v>0.16074258546524792</v>
      </c>
      <c r="W21">
        <f>N21/K21</f>
        <v>1.3214219244369998</v>
      </c>
      <c r="X21" t="str">
        <f t="shared" si="4"/>
        <v>No Trophies</v>
      </c>
      <c r="Y21" t="str">
        <f t="shared" si="5"/>
        <v>Insufficient Data</v>
      </c>
    </row>
    <row r="22" spans="1:25" x14ac:dyDescent="0.3">
      <c r="A22" t="s">
        <v>20</v>
      </c>
      <c r="B22" t="s">
        <v>22</v>
      </c>
      <c r="C22" t="s">
        <v>37</v>
      </c>
      <c r="D22">
        <v>498.5</v>
      </c>
      <c r="E22">
        <v>12.46</v>
      </c>
      <c r="F22">
        <v>40</v>
      </c>
      <c r="G22">
        <v>25.2</v>
      </c>
      <c r="H22">
        <v>20.399999999999999</v>
      </c>
      <c r="I22">
        <v>17.8</v>
      </c>
      <c r="J22">
        <f t="shared" si="0"/>
        <v>2.5999999999999979</v>
      </c>
      <c r="K22">
        <v>68.709999999999994</v>
      </c>
      <c r="L22" t="s">
        <v>39</v>
      </c>
      <c r="M22" t="s">
        <v>39</v>
      </c>
      <c r="N22">
        <v>60</v>
      </c>
      <c r="O22">
        <v>6</v>
      </c>
      <c r="P22">
        <v>1</v>
      </c>
      <c r="Q22">
        <v>0</v>
      </c>
      <c r="R22">
        <v>0</v>
      </c>
      <c r="S22">
        <v>0</v>
      </c>
      <c r="T22">
        <v>0</v>
      </c>
      <c r="U22">
        <f t="shared" si="1"/>
        <v>23.076923076923094</v>
      </c>
      <c r="V22">
        <f t="shared" si="2"/>
        <v>0.12036108324974924</v>
      </c>
      <c r="W22">
        <f t="shared" si="3"/>
        <v>0.87323533692330091</v>
      </c>
      <c r="X22" t="str">
        <f t="shared" si="4"/>
        <v>No Trophies</v>
      </c>
      <c r="Y22" t="str">
        <f t="shared" si="5"/>
        <v>Insufficient Data</v>
      </c>
    </row>
    <row r="23" spans="1:25" x14ac:dyDescent="0.3">
      <c r="A23" t="s">
        <v>18</v>
      </c>
      <c r="B23" t="s">
        <v>23</v>
      </c>
      <c r="C23" t="s">
        <v>31</v>
      </c>
      <c r="D23">
        <v>790.33</v>
      </c>
      <c r="E23">
        <v>20.8</v>
      </c>
      <c r="F23">
        <v>38</v>
      </c>
      <c r="G23">
        <v>25.2</v>
      </c>
      <c r="H23">
        <v>57.5</v>
      </c>
      <c r="I23">
        <v>2.2999999999999998</v>
      </c>
      <c r="J23">
        <f t="shared" si="0"/>
        <v>55.2</v>
      </c>
      <c r="K23">
        <v>228.05</v>
      </c>
      <c r="L23">
        <v>653.6</v>
      </c>
      <c r="M23">
        <v>1</v>
      </c>
      <c r="N23">
        <v>77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f t="shared" si="1"/>
        <v>1.394927536231884</v>
      </c>
      <c r="V23">
        <f t="shared" si="2"/>
        <v>9.7427656801589199E-2</v>
      </c>
      <c r="W23">
        <f t="shared" si="3"/>
        <v>0.3376452532339399</v>
      </c>
      <c r="X23">
        <f t="shared" si="4"/>
        <v>55.2</v>
      </c>
      <c r="Y23">
        <f t="shared" si="5"/>
        <v>370.35</v>
      </c>
    </row>
    <row r="24" spans="1:25" x14ac:dyDescent="0.3">
      <c r="A24" t="s">
        <v>19</v>
      </c>
      <c r="B24" t="s">
        <v>23</v>
      </c>
      <c r="C24" t="s">
        <v>31</v>
      </c>
      <c r="D24">
        <v>948.95</v>
      </c>
      <c r="E24">
        <v>27.11</v>
      </c>
      <c r="F24">
        <v>35</v>
      </c>
      <c r="G24">
        <v>25.7</v>
      </c>
      <c r="H24">
        <v>146.5</v>
      </c>
      <c r="I24">
        <v>121.9</v>
      </c>
      <c r="J24">
        <f t="shared" si="0"/>
        <v>24.599999999999994</v>
      </c>
      <c r="K24">
        <v>267.75</v>
      </c>
      <c r="L24">
        <v>744</v>
      </c>
      <c r="M24">
        <v>1</v>
      </c>
      <c r="N24">
        <v>71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f t="shared" si="1"/>
        <v>2.8861788617886184</v>
      </c>
      <c r="V24">
        <f t="shared" si="2"/>
        <v>7.4819537383423784E-2</v>
      </c>
      <c r="W24">
        <f t="shared" si="3"/>
        <v>0.26517273576097106</v>
      </c>
      <c r="X24">
        <f t="shared" si="4"/>
        <v>24.599999999999994</v>
      </c>
      <c r="Y24">
        <f t="shared" si="5"/>
        <v>451.65</v>
      </c>
    </row>
    <row r="25" spans="1:25" x14ac:dyDescent="0.3">
      <c r="A25" t="s">
        <v>20</v>
      </c>
      <c r="B25" t="s">
        <v>23</v>
      </c>
      <c r="C25" t="s">
        <v>31</v>
      </c>
      <c r="D25">
        <v>965.15</v>
      </c>
      <c r="E25">
        <v>24.75</v>
      </c>
      <c r="F25">
        <v>39</v>
      </c>
      <c r="G25">
        <v>25.2</v>
      </c>
      <c r="H25">
        <v>187.5</v>
      </c>
      <c r="I25">
        <v>175.42</v>
      </c>
      <c r="J25">
        <f t="shared" si="0"/>
        <v>12.080000000000013</v>
      </c>
      <c r="K25">
        <v>265</v>
      </c>
      <c r="L25">
        <v>765.4</v>
      </c>
      <c r="M25">
        <v>1</v>
      </c>
      <c r="N25">
        <v>72</v>
      </c>
      <c r="O25">
        <v>3</v>
      </c>
      <c r="P25">
        <v>1</v>
      </c>
      <c r="Q25">
        <v>0</v>
      </c>
      <c r="R25">
        <v>0</v>
      </c>
      <c r="S25">
        <v>0</v>
      </c>
      <c r="T25">
        <v>0</v>
      </c>
      <c r="U25">
        <f t="shared" si="1"/>
        <v>5.9602649006622457</v>
      </c>
      <c r="V25">
        <f t="shared" si="2"/>
        <v>7.459980313940838E-2</v>
      </c>
      <c r="W25">
        <f t="shared" si="3"/>
        <v>0.27169811320754716</v>
      </c>
      <c r="X25" t="str">
        <f t="shared" si="4"/>
        <v>No Trophies</v>
      </c>
      <c r="Y25">
        <f t="shared" si="5"/>
        <v>488.31999999999994</v>
      </c>
    </row>
    <row r="26" spans="1:25" x14ac:dyDescent="0.3">
      <c r="A26" t="s">
        <v>18</v>
      </c>
      <c r="B26" t="s">
        <v>23</v>
      </c>
      <c r="C26" t="s">
        <v>32</v>
      </c>
      <c r="D26">
        <v>455.05</v>
      </c>
      <c r="E26">
        <v>13</v>
      </c>
      <c r="F26">
        <v>35</v>
      </c>
      <c r="G26">
        <v>25.1</v>
      </c>
      <c r="H26">
        <v>55.35</v>
      </c>
      <c r="I26">
        <v>43.34</v>
      </c>
      <c r="J26">
        <f t="shared" si="0"/>
        <v>12.009999999999998</v>
      </c>
      <c r="K26">
        <v>61.27</v>
      </c>
      <c r="L26" t="s">
        <v>39</v>
      </c>
      <c r="M26" t="s">
        <v>39</v>
      </c>
      <c r="N26">
        <v>64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f t="shared" si="1"/>
        <v>5.3288925895087438</v>
      </c>
      <c r="V26">
        <f t="shared" si="2"/>
        <v>0.14064388528733107</v>
      </c>
      <c r="W26">
        <f t="shared" si="3"/>
        <v>1.0445568793863227</v>
      </c>
      <c r="X26" t="str">
        <f t="shared" si="4"/>
        <v>No Trophies</v>
      </c>
      <c r="Y26" t="str">
        <f t="shared" si="5"/>
        <v>Insufficient Data</v>
      </c>
    </row>
    <row r="27" spans="1:25" x14ac:dyDescent="0.3">
      <c r="A27" t="s">
        <v>19</v>
      </c>
      <c r="B27" t="s">
        <v>23</v>
      </c>
      <c r="C27" t="s">
        <v>32</v>
      </c>
      <c r="D27">
        <v>452.5</v>
      </c>
      <c r="E27">
        <v>12.93</v>
      </c>
      <c r="F27">
        <v>35</v>
      </c>
      <c r="G27">
        <v>24.8</v>
      </c>
      <c r="H27">
        <v>15.1</v>
      </c>
      <c r="I27">
        <v>10.199999999999999</v>
      </c>
      <c r="J27">
        <f t="shared" si="0"/>
        <v>4.9000000000000004</v>
      </c>
      <c r="K27">
        <v>62.72</v>
      </c>
      <c r="L27" t="s">
        <v>39</v>
      </c>
      <c r="M27" t="s">
        <v>39</v>
      </c>
      <c r="N27">
        <v>50</v>
      </c>
      <c r="O27">
        <v>6</v>
      </c>
      <c r="P27">
        <v>1</v>
      </c>
      <c r="Q27">
        <v>0</v>
      </c>
      <c r="R27">
        <v>0</v>
      </c>
      <c r="S27">
        <v>0</v>
      </c>
      <c r="T27">
        <v>0</v>
      </c>
      <c r="U27">
        <f t="shared" si="1"/>
        <v>10.204081632653061</v>
      </c>
      <c r="V27">
        <f t="shared" si="2"/>
        <v>0.11049723756906077</v>
      </c>
      <c r="W27">
        <f t="shared" si="3"/>
        <v>0.79719387755102045</v>
      </c>
      <c r="X27" t="str">
        <f t="shared" si="4"/>
        <v>No Trophies</v>
      </c>
      <c r="Y27" t="str">
        <f t="shared" si="5"/>
        <v>Insufficient Data</v>
      </c>
    </row>
    <row r="28" spans="1:25" x14ac:dyDescent="0.3">
      <c r="A28" t="s">
        <v>20</v>
      </c>
      <c r="B28" t="s">
        <v>23</v>
      </c>
      <c r="C28" t="s">
        <v>32</v>
      </c>
      <c r="D28">
        <v>658.35</v>
      </c>
      <c r="E28">
        <v>20.57</v>
      </c>
      <c r="F28">
        <v>32</v>
      </c>
      <c r="G28">
        <v>24.9</v>
      </c>
      <c r="H28">
        <v>83.9</v>
      </c>
      <c r="I28">
        <v>68.5</v>
      </c>
      <c r="J28">
        <f t="shared" si="0"/>
        <v>15.400000000000006</v>
      </c>
      <c r="K28">
        <v>71.73</v>
      </c>
      <c r="L28" t="s">
        <v>39</v>
      </c>
      <c r="M28">
        <v>1</v>
      </c>
      <c r="N28">
        <v>90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f t="shared" si="1"/>
        <v>5.8441558441558419</v>
      </c>
      <c r="V28">
        <f t="shared" si="2"/>
        <v>0.13670539986329461</v>
      </c>
      <c r="W28">
        <f t="shared" si="3"/>
        <v>1.2547051442910915</v>
      </c>
      <c r="X28">
        <f t="shared" si="4"/>
        <v>7.7000000000000028</v>
      </c>
      <c r="Y28" t="str">
        <f t="shared" si="5"/>
        <v>Insufficient Data</v>
      </c>
    </row>
    <row r="29" spans="1:25" x14ac:dyDescent="0.3">
      <c r="A29" t="s">
        <v>18</v>
      </c>
      <c r="B29" t="s">
        <v>23</v>
      </c>
      <c r="C29" t="s">
        <v>36</v>
      </c>
      <c r="D29">
        <v>558.98</v>
      </c>
      <c r="E29">
        <v>12.7</v>
      </c>
      <c r="F29">
        <v>44</v>
      </c>
      <c r="G29">
        <v>24.5</v>
      </c>
      <c r="H29">
        <v>45</v>
      </c>
      <c r="I29">
        <v>109.5</v>
      </c>
      <c r="J29">
        <f t="shared" si="0"/>
        <v>-64.5</v>
      </c>
      <c r="K29">
        <v>116.45</v>
      </c>
      <c r="L29">
        <v>356.9</v>
      </c>
      <c r="M29">
        <v>0</v>
      </c>
      <c r="N29">
        <v>69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f t="shared" si="1"/>
        <v>-1.069767441860465</v>
      </c>
      <c r="V29">
        <f t="shared" si="2"/>
        <v>0.12343912125657447</v>
      </c>
      <c r="W29">
        <f t="shared" si="3"/>
        <v>0.59252898239587803</v>
      </c>
      <c r="X29" t="str">
        <f t="shared" si="4"/>
        <v>No Trophies</v>
      </c>
      <c r="Y29">
        <f t="shared" si="5"/>
        <v>304.95</v>
      </c>
    </row>
    <row r="30" spans="1:25" x14ac:dyDescent="0.3">
      <c r="A30" t="s">
        <v>19</v>
      </c>
      <c r="B30" t="s">
        <v>23</v>
      </c>
      <c r="C30" t="s">
        <v>36</v>
      </c>
      <c r="D30">
        <v>567.54999999999995</v>
      </c>
      <c r="E30">
        <v>15.34</v>
      </c>
      <c r="F30">
        <v>37</v>
      </c>
      <c r="G30">
        <v>25.1</v>
      </c>
      <c r="H30">
        <v>104.6</v>
      </c>
      <c r="I30">
        <v>82</v>
      </c>
      <c r="J30">
        <f t="shared" si="0"/>
        <v>22.599999999999994</v>
      </c>
      <c r="K30">
        <v>125.33</v>
      </c>
      <c r="L30">
        <v>420</v>
      </c>
      <c r="M30">
        <v>1</v>
      </c>
      <c r="N30">
        <v>71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f t="shared" si="1"/>
        <v>3.141592920353983</v>
      </c>
      <c r="V30">
        <f t="shared" si="2"/>
        <v>0.12509911021055414</v>
      </c>
      <c r="W30">
        <f t="shared" si="3"/>
        <v>0.56650442830926351</v>
      </c>
      <c r="X30" t="str">
        <f t="shared" si="4"/>
        <v>No Trophies</v>
      </c>
      <c r="Y30">
        <f t="shared" si="5"/>
        <v>272.07000000000005</v>
      </c>
    </row>
    <row r="31" spans="1:25" x14ac:dyDescent="0.3">
      <c r="A31" t="s">
        <v>20</v>
      </c>
      <c r="B31" t="s">
        <v>23</v>
      </c>
      <c r="C31" t="s">
        <v>36</v>
      </c>
      <c r="D31">
        <v>494.8</v>
      </c>
      <c r="E31">
        <v>13.74</v>
      </c>
      <c r="F31">
        <v>36</v>
      </c>
      <c r="G31">
        <v>25.6</v>
      </c>
      <c r="H31">
        <v>68.55</v>
      </c>
      <c r="I31">
        <v>137.35</v>
      </c>
      <c r="J31">
        <f t="shared" si="0"/>
        <v>-68.8</v>
      </c>
      <c r="K31">
        <v>132.01</v>
      </c>
      <c r="L31">
        <v>513.70000000000005</v>
      </c>
      <c r="M31">
        <v>1</v>
      </c>
      <c r="N31">
        <v>63</v>
      </c>
      <c r="O31">
        <v>5</v>
      </c>
      <c r="P31">
        <v>1</v>
      </c>
      <c r="Q31">
        <v>0</v>
      </c>
      <c r="R31">
        <v>0</v>
      </c>
      <c r="S31">
        <v>0</v>
      </c>
      <c r="T31">
        <v>0</v>
      </c>
      <c r="U31">
        <f t="shared" si="1"/>
        <v>-0.91569767441860472</v>
      </c>
      <c r="V31">
        <f t="shared" si="2"/>
        <v>0.12732417138237673</v>
      </c>
      <c r="W31">
        <f t="shared" si="3"/>
        <v>0.47723657298689498</v>
      </c>
      <c r="X31" t="str">
        <f t="shared" si="4"/>
        <v>No Trophies</v>
      </c>
      <c r="Y31">
        <f t="shared" si="5"/>
        <v>450.49000000000007</v>
      </c>
    </row>
    <row r="32" spans="1:25" x14ac:dyDescent="0.3">
      <c r="A32" t="s">
        <v>18</v>
      </c>
      <c r="B32" t="s">
        <v>24</v>
      </c>
      <c r="C32" t="s">
        <v>33</v>
      </c>
      <c r="D32">
        <v>546.95000000000005</v>
      </c>
      <c r="E32">
        <v>14.78</v>
      </c>
      <c r="F32">
        <v>37</v>
      </c>
      <c r="G32">
        <v>25.8</v>
      </c>
      <c r="H32">
        <v>100.44</v>
      </c>
      <c r="I32">
        <v>5.12</v>
      </c>
      <c r="J32">
        <f t="shared" si="0"/>
        <v>95.32</v>
      </c>
      <c r="K32">
        <v>87.78</v>
      </c>
      <c r="L32">
        <v>264.89999999999998</v>
      </c>
      <c r="M32">
        <v>0</v>
      </c>
      <c r="N32">
        <v>86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f t="shared" si="1"/>
        <v>0.90222408728493497</v>
      </c>
      <c r="V32">
        <f t="shared" si="2"/>
        <v>0.15723557912057773</v>
      </c>
      <c r="W32">
        <f t="shared" si="3"/>
        <v>0.97972203235361133</v>
      </c>
      <c r="X32">
        <f t="shared" si="4"/>
        <v>95.32</v>
      </c>
      <c r="Y32">
        <f t="shared" si="5"/>
        <v>81.799999999999983</v>
      </c>
    </row>
    <row r="33" spans="1:25" x14ac:dyDescent="0.3">
      <c r="A33" t="s">
        <v>19</v>
      </c>
      <c r="B33" t="s">
        <v>24</v>
      </c>
      <c r="C33" t="s">
        <v>33</v>
      </c>
      <c r="D33">
        <v>545.1</v>
      </c>
      <c r="E33">
        <v>15.14</v>
      </c>
      <c r="F33">
        <v>36</v>
      </c>
      <c r="G33">
        <v>26.4</v>
      </c>
      <c r="H33">
        <v>61.79</v>
      </c>
      <c r="I33">
        <v>11.11</v>
      </c>
      <c r="J33">
        <f t="shared" si="0"/>
        <v>50.68</v>
      </c>
      <c r="K33">
        <v>94.46</v>
      </c>
      <c r="L33">
        <v>385.3</v>
      </c>
      <c r="M33">
        <v>1</v>
      </c>
      <c r="N33">
        <v>70</v>
      </c>
      <c r="O33">
        <v>4</v>
      </c>
      <c r="P33">
        <v>1</v>
      </c>
      <c r="Q33">
        <v>0</v>
      </c>
      <c r="R33">
        <v>0</v>
      </c>
      <c r="S33">
        <v>0</v>
      </c>
      <c r="T33">
        <v>0</v>
      </c>
      <c r="U33">
        <f t="shared" si="1"/>
        <v>1.3812154696132597</v>
      </c>
      <c r="V33">
        <f t="shared" si="2"/>
        <v>0.1284168042560998</v>
      </c>
      <c r="W33">
        <f t="shared" si="3"/>
        <v>0.74105441456701249</v>
      </c>
      <c r="X33" t="str">
        <f t="shared" si="4"/>
        <v>No Trophies</v>
      </c>
      <c r="Y33">
        <f t="shared" si="5"/>
        <v>240.16000000000003</v>
      </c>
    </row>
    <row r="34" spans="1:25" x14ac:dyDescent="0.3">
      <c r="A34" t="s">
        <v>20</v>
      </c>
      <c r="B34" t="s">
        <v>24</v>
      </c>
      <c r="C34" t="s">
        <v>33</v>
      </c>
      <c r="D34">
        <v>571.41</v>
      </c>
      <c r="E34">
        <v>13.61</v>
      </c>
      <c r="F34">
        <v>42</v>
      </c>
      <c r="G34">
        <v>24.6</v>
      </c>
      <c r="H34">
        <v>132.68</v>
      </c>
      <c r="I34">
        <v>74.319999999999993</v>
      </c>
      <c r="J34">
        <f t="shared" si="0"/>
        <v>58.360000000000014</v>
      </c>
      <c r="K34">
        <v>89.66</v>
      </c>
      <c r="L34">
        <v>397.6</v>
      </c>
      <c r="M34">
        <v>1</v>
      </c>
      <c r="N34">
        <v>75</v>
      </c>
      <c r="O34">
        <v>2</v>
      </c>
      <c r="P34">
        <v>1</v>
      </c>
      <c r="Q34">
        <v>0</v>
      </c>
      <c r="R34">
        <v>0</v>
      </c>
      <c r="S34">
        <v>0</v>
      </c>
      <c r="T34">
        <v>0</v>
      </c>
      <c r="U34">
        <f t="shared" si="1"/>
        <v>1.2851267991775186</v>
      </c>
      <c r="V34">
        <f t="shared" si="2"/>
        <v>0.13125426576363733</v>
      </c>
      <c r="W34">
        <f t="shared" si="3"/>
        <v>0.83649341958509926</v>
      </c>
      <c r="X34" t="str">
        <f t="shared" si="4"/>
        <v>No Trophies</v>
      </c>
      <c r="Y34">
        <f t="shared" si="5"/>
        <v>249.58000000000004</v>
      </c>
    </row>
    <row r="35" spans="1:25" x14ac:dyDescent="0.3">
      <c r="A35" t="s">
        <v>18</v>
      </c>
      <c r="B35" t="s">
        <v>24</v>
      </c>
      <c r="C35" t="s">
        <v>34</v>
      </c>
      <c r="D35">
        <v>558.54999999999995</v>
      </c>
      <c r="E35">
        <v>15.52</v>
      </c>
      <c r="F35">
        <v>36</v>
      </c>
      <c r="G35">
        <v>27.7</v>
      </c>
      <c r="H35">
        <v>42.55</v>
      </c>
      <c r="I35">
        <v>208.15</v>
      </c>
      <c r="J35">
        <f t="shared" si="0"/>
        <v>-165.60000000000002</v>
      </c>
      <c r="K35">
        <v>156.18</v>
      </c>
      <c r="L35">
        <v>308.39999999999998</v>
      </c>
      <c r="M35">
        <v>0</v>
      </c>
      <c r="N35">
        <v>84</v>
      </c>
      <c r="O35">
        <v>2</v>
      </c>
      <c r="P35">
        <v>1</v>
      </c>
      <c r="Q35">
        <v>0</v>
      </c>
      <c r="R35">
        <v>0</v>
      </c>
      <c r="S35">
        <v>0</v>
      </c>
      <c r="T35">
        <v>1</v>
      </c>
      <c r="U35">
        <f t="shared" si="1"/>
        <v>-0.50724637681159412</v>
      </c>
      <c r="V35">
        <f t="shared" si="2"/>
        <v>0.15038940112792051</v>
      </c>
      <c r="W35">
        <f t="shared" si="3"/>
        <v>0.53784095274683053</v>
      </c>
      <c r="X35">
        <f t="shared" si="4"/>
        <v>-165.60000000000002</v>
      </c>
      <c r="Y35">
        <f t="shared" si="5"/>
        <v>317.82</v>
      </c>
    </row>
    <row r="36" spans="1:25" x14ac:dyDescent="0.3">
      <c r="A36" t="s">
        <v>19</v>
      </c>
      <c r="B36" t="s">
        <v>24</v>
      </c>
      <c r="C36" t="s">
        <v>34</v>
      </c>
      <c r="D36">
        <v>567.54999999999995</v>
      </c>
      <c r="E36">
        <v>16.22</v>
      </c>
      <c r="F36">
        <v>35</v>
      </c>
      <c r="G36">
        <v>26.9</v>
      </c>
      <c r="H36">
        <v>65.680000000000007</v>
      </c>
      <c r="I36">
        <v>24.85</v>
      </c>
      <c r="J36">
        <f t="shared" si="0"/>
        <v>40.830000000000005</v>
      </c>
      <c r="K36">
        <v>134.22</v>
      </c>
      <c r="L36">
        <v>378.9</v>
      </c>
      <c r="M36">
        <v>0</v>
      </c>
      <c r="N36">
        <v>72</v>
      </c>
      <c r="O36">
        <v>3</v>
      </c>
      <c r="P36">
        <v>1</v>
      </c>
      <c r="Q36">
        <v>0</v>
      </c>
      <c r="R36">
        <v>0</v>
      </c>
      <c r="S36">
        <v>0</v>
      </c>
      <c r="T36">
        <v>1</v>
      </c>
      <c r="U36">
        <f t="shared" si="1"/>
        <v>1.7634092578986038</v>
      </c>
      <c r="V36">
        <f t="shared" si="2"/>
        <v>0.12686106950929435</v>
      </c>
      <c r="W36">
        <f t="shared" si="3"/>
        <v>0.53643272239606621</v>
      </c>
      <c r="X36">
        <f t="shared" si="4"/>
        <v>40.830000000000005</v>
      </c>
      <c r="Y36">
        <f t="shared" si="5"/>
        <v>203.84999999999997</v>
      </c>
    </row>
    <row r="37" spans="1:25" x14ac:dyDescent="0.3">
      <c r="A37" t="s">
        <v>20</v>
      </c>
      <c r="B37" t="s">
        <v>24</v>
      </c>
      <c r="C37" t="s">
        <v>34</v>
      </c>
      <c r="D37">
        <v>654.85</v>
      </c>
      <c r="E37">
        <v>18.71</v>
      </c>
      <c r="F37">
        <v>35</v>
      </c>
      <c r="G37">
        <v>27.1</v>
      </c>
      <c r="H37">
        <v>73.5</v>
      </c>
      <c r="I37">
        <v>127.03</v>
      </c>
      <c r="J37">
        <f t="shared" si="0"/>
        <v>-53.53</v>
      </c>
      <c r="K37">
        <v>123.59</v>
      </c>
      <c r="L37">
        <v>391</v>
      </c>
      <c r="M37">
        <v>0</v>
      </c>
      <c r="N37">
        <v>94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f t="shared" si="1"/>
        <v>-1.7560246590696804</v>
      </c>
      <c r="V37">
        <f t="shared" si="2"/>
        <v>0.14354432312743376</v>
      </c>
      <c r="W37">
        <f t="shared" si="3"/>
        <v>0.7605793348976454</v>
      </c>
      <c r="X37">
        <f t="shared" si="4"/>
        <v>-53.53</v>
      </c>
      <c r="Y37">
        <f t="shared" si="5"/>
        <v>320.93999999999994</v>
      </c>
    </row>
    <row r="38" spans="1:25" x14ac:dyDescent="0.3">
      <c r="A38" t="s">
        <v>18</v>
      </c>
      <c r="B38" t="s">
        <v>24</v>
      </c>
      <c r="C38" t="s">
        <v>35</v>
      </c>
      <c r="D38">
        <v>477.23</v>
      </c>
      <c r="E38">
        <v>12.9</v>
      </c>
      <c r="F38">
        <v>37</v>
      </c>
      <c r="G38">
        <v>25.8</v>
      </c>
      <c r="H38">
        <v>24.4</v>
      </c>
      <c r="I38">
        <v>3.2</v>
      </c>
      <c r="J38">
        <f t="shared" si="0"/>
        <v>21.2</v>
      </c>
      <c r="K38">
        <v>101.08</v>
      </c>
      <c r="L38">
        <v>175.9</v>
      </c>
      <c r="M38" t="s">
        <v>39</v>
      </c>
      <c r="N38">
        <v>79</v>
      </c>
      <c r="O38">
        <v>3</v>
      </c>
      <c r="P38">
        <v>0</v>
      </c>
      <c r="Q38">
        <v>0</v>
      </c>
      <c r="R38">
        <v>0</v>
      </c>
      <c r="S38">
        <v>0</v>
      </c>
      <c r="T38">
        <v>0</v>
      </c>
      <c r="U38">
        <f t="shared" si="1"/>
        <v>3.7264150943396226</v>
      </c>
      <c r="V38">
        <f t="shared" si="2"/>
        <v>0.16553862917251638</v>
      </c>
      <c r="W38">
        <f t="shared" si="3"/>
        <v>0.78155916106054613</v>
      </c>
      <c r="X38" t="str">
        <f t="shared" si="4"/>
        <v>No Trophies</v>
      </c>
      <c r="Y38">
        <f t="shared" si="5"/>
        <v>53.620000000000005</v>
      </c>
    </row>
    <row r="39" spans="1:25" x14ac:dyDescent="0.3">
      <c r="A39" t="s">
        <v>19</v>
      </c>
      <c r="B39" t="s">
        <v>24</v>
      </c>
      <c r="C39" t="s">
        <v>35</v>
      </c>
      <c r="D39">
        <v>654.08000000000004</v>
      </c>
      <c r="E39">
        <v>21.1</v>
      </c>
      <c r="F39">
        <v>31</v>
      </c>
      <c r="G39">
        <v>26.7</v>
      </c>
      <c r="H39">
        <v>79.3</v>
      </c>
      <c r="I39">
        <v>86.18</v>
      </c>
      <c r="J39">
        <f t="shared" si="0"/>
        <v>-6.8800000000000097</v>
      </c>
      <c r="K39">
        <v>76.566000000000003</v>
      </c>
      <c r="L39">
        <v>267.7</v>
      </c>
      <c r="M39">
        <v>1</v>
      </c>
      <c r="N39">
        <v>90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f t="shared" si="1"/>
        <v>-13.081395348837191</v>
      </c>
      <c r="V39">
        <f t="shared" si="2"/>
        <v>0.13759784735812133</v>
      </c>
      <c r="W39">
        <f t="shared" si="3"/>
        <v>1.1754564689287672</v>
      </c>
      <c r="X39">
        <f t="shared" si="4"/>
        <v>-6.8800000000000097</v>
      </c>
      <c r="Y39">
        <f t="shared" si="5"/>
        <v>198.01400000000001</v>
      </c>
    </row>
    <row r="40" spans="1:25" x14ac:dyDescent="0.3">
      <c r="A40" t="s">
        <v>20</v>
      </c>
      <c r="B40" t="s">
        <v>24</v>
      </c>
      <c r="C40" t="s">
        <v>35</v>
      </c>
      <c r="D40">
        <v>515</v>
      </c>
      <c r="E40">
        <v>14.71</v>
      </c>
      <c r="F40">
        <v>35</v>
      </c>
      <c r="G40">
        <v>26.5</v>
      </c>
      <c r="H40">
        <v>119.81</v>
      </c>
      <c r="I40">
        <v>102.5</v>
      </c>
      <c r="J40">
        <f t="shared" si="0"/>
        <v>17.310000000000002</v>
      </c>
      <c r="K40">
        <v>92.01</v>
      </c>
      <c r="L40">
        <v>253.6</v>
      </c>
      <c r="M40">
        <v>1</v>
      </c>
      <c r="N40">
        <v>53</v>
      </c>
      <c r="O40">
        <v>10</v>
      </c>
      <c r="P40">
        <v>1</v>
      </c>
      <c r="Q40">
        <v>0</v>
      </c>
      <c r="R40">
        <v>0</v>
      </c>
      <c r="S40">
        <v>0</v>
      </c>
      <c r="T40">
        <v>0</v>
      </c>
      <c r="U40">
        <f t="shared" si="1"/>
        <v>3.0618139803581741</v>
      </c>
      <c r="V40">
        <f t="shared" si="2"/>
        <v>0.1029126213592233</v>
      </c>
      <c r="W40">
        <f t="shared" si="3"/>
        <v>0.57602434517987167</v>
      </c>
      <c r="X40" t="str">
        <f t="shared" si="4"/>
        <v>No Trophies</v>
      </c>
      <c r="Y40">
        <f t="shared" si="5"/>
        <v>144.27999999999997</v>
      </c>
    </row>
    <row r="41" spans="1:25" x14ac:dyDescent="0.3">
      <c r="A41" t="s">
        <v>18</v>
      </c>
      <c r="B41" t="s">
        <v>24</v>
      </c>
      <c r="C41" t="s">
        <v>38</v>
      </c>
      <c r="D41">
        <v>398.75</v>
      </c>
      <c r="E41">
        <v>9.06</v>
      </c>
      <c r="F41">
        <v>44</v>
      </c>
      <c r="G41">
        <v>24.9</v>
      </c>
      <c r="H41">
        <v>68.2</v>
      </c>
      <c r="I41">
        <v>51.92</v>
      </c>
      <c r="J41">
        <f t="shared" si="0"/>
        <v>16.28</v>
      </c>
      <c r="K41">
        <v>46.35</v>
      </c>
      <c r="L41" t="s">
        <v>39</v>
      </c>
      <c r="M41">
        <v>1</v>
      </c>
      <c r="N41">
        <v>59</v>
      </c>
      <c r="O41">
        <v>8</v>
      </c>
      <c r="P41">
        <v>1</v>
      </c>
      <c r="Q41">
        <v>0</v>
      </c>
      <c r="R41">
        <v>0</v>
      </c>
      <c r="S41">
        <v>0</v>
      </c>
      <c r="T41">
        <v>0</v>
      </c>
      <c r="U41">
        <f t="shared" si="1"/>
        <v>3.6240786240786238</v>
      </c>
      <c r="V41">
        <f t="shared" si="2"/>
        <v>0.14796238244514107</v>
      </c>
      <c r="W41">
        <f t="shared" si="3"/>
        <v>1.2729234088457388</v>
      </c>
      <c r="X41" t="str">
        <f t="shared" si="4"/>
        <v>No Trophies</v>
      </c>
      <c r="Y41" t="str">
        <f t="shared" si="5"/>
        <v>Insufficient Data</v>
      </c>
    </row>
    <row r="42" spans="1:25" x14ac:dyDescent="0.3">
      <c r="A42" t="s">
        <v>19</v>
      </c>
      <c r="B42" t="s">
        <v>24</v>
      </c>
      <c r="C42" t="s">
        <v>38</v>
      </c>
      <c r="D42">
        <v>338.38</v>
      </c>
      <c r="E42">
        <v>8.9</v>
      </c>
      <c r="F42">
        <v>38</v>
      </c>
      <c r="G42">
        <v>24.9</v>
      </c>
      <c r="H42">
        <v>108.45</v>
      </c>
      <c r="I42">
        <v>137.35</v>
      </c>
      <c r="J42">
        <f t="shared" si="0"/>
        <v>-28.899999999999991</v>
      </c>
      <c r="K42">
        <v>40.837000000000003</v>
      </c>
      <c r="L42" t="s">
        <v>39</v>
      </c>
      <c r="M42">
        <v>1</v>
      </c>
      <c r="N42">
        <v>64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f t="shared" si="1"/>
        <v>-2.214532871972319</v>
      </c>
      <c r="V42">
        <f t="shared" si="2"/>
        <v>0.18913647378686685</v>
      </c>
      <c r="W42">
        <f t="shared" si="3"/>
        <v>1.5672062100546071</v>
      </c>
      <c r="X42" t="str">
        <f t="shared" si="4"/>
        <v>No Trophies</v>
      </c>
      <c r="Y42" t="str">
        <f t="shared" si="5"/>
        <v>Insufficient Data</v>
      </c>
    </row>
    <row r="43" spans="1:25" x14ac:dyDescent="0.3">
      <c r="A43" t="s">
        <v>20</v>
      </c>
      <c r="B43" t="s">
        <v>24</v>
      </c>
      <c r="C43" t="s">
        <v>38</v>
      </c>
      <c r="D43">
        <v>436.05</v>
      </c>
      <c r="E43">
        <v>10.38</v>
      </c>
      <c r="F43">
        <v>42</v>
      </c>
      <c r="G43">
        <v>25.2</v>
      </c>
      <c r="H43">
        <v>81.36</v>
      </c>
      <c r="I43">
        <v>160.77000000000001</v>
      </c>
      <c r="J43">
        <f t="shared" si="0"/>
        <v>-79.410000000000011</v>
      </c>
      <c r="K43">
        <v>51.4</v>
      </c>
      <c r="L43">
        <v>244</v>
      </c>
      <c r="M43">
        <v>1</v>
      </c>
      <c r="N43">
        <v>69</v>
      </c>
      <c r="O43">
        <v>4</v>
      </c>
      <c r="P43">
        <v>0</v>
      </c>
      <c r="Q43">
        <v>0</v>
      </c>
      <c r="R43">
        <v>0</v>
      </c>
      <c r="S43">
        <v>1</v>
      </c>
      <c r="T43">
        <v>0</v>
      </c>
      <c r="U43">
        <f t="shared" si="1"/>
        <v>-0.86890819795995455</v>
      </c>
      <c r="V43">
        <f t="shared" si="2"/>
        <v>0.15823873409012729</v>
      </c>
      <c r="W43">
        <f t="shared" si="3"/>
        <v>1.3424124513618678</v>
      </c>
      <c r="X43">
        <f t="shared" si="4"/>
        <v>-79.410000000000011</v>
      </c>
      <c r="Y43">
        <f t="shared" si="5"/>
        <v>272.01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Jenish T</cp:lastModifiedBy>
  <dcterms:created xsi:type="dcterms:W3CDTF">2025-12-06T06:38:02Z</dcterms:created>
  <dcterms:modified xsi:type="dcterms:W3CDTF">2025-12-11T16:30:36Z</dcterms:modified>
</cp:coreProperties>
</file>