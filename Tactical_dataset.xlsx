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dc98a2bd5c9fedb/Desktop/"/>
    </mc:Choice>
  </mc:AlternateContent>
  <xr:revisionPtr revIDLastSave="11" documentId="11_5C8D9163DD558E0E62355476585DCE3A8747BDE0" xr6:coauthVersionLast="47" xr6:coauthVersionMax="47" xr10:uidLastSave="{8257D93A-71A3-4575-A862-F3FD1F13182B}"/>
  <bookViews>
    <workbookView xWindow="2892" yWindow="2892" windowWidth="17028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2" i="1"/>
</calcChain>
</file>

<file path=xl/sharedStrings.xml><?xml version="1.0" encoding="utf-8"?>
<sst xmlns="http://schemas.openxmlformats.org/spreadsheetml/2006/main" count="148" uniqueCount="43">
  <si>
    <t>season</t>
  </si>
  <si>
    <t>league</t>
  </si>
  <si>
    <t>team</t>
  </si>
  <si>
    <t>matches</t>
  </si>
  <si>
    <t>W</t>
  </si>
  <si>
    <t>D</t>
  </si>
  <si>
    <t>L</t>
  </si>
  <si>
    <t>G</t>
  </si>
  <si>
    <t>GA</t>
  </si>
  <si>
    <t>PTS</t>
  </si>
  <si>
    <t>xG</t>
  </si>
  <si>
    <t>npxG</t>
  </si>
  <si>
    <t>xGA</t>
  </si>
  <si>
    <t>npxGA</t>
  </si>
  <si>
    <t>npxGD</t>
  </si>
  <si>
    <t>PPDA</t>
  </si>
  <si>
    <t>OPPDA</t>
  </si>
  <si>
    <t>deep</t>
  </si>
  <si>
    <t>deep_allowed</t>
  </si>
  <si>
    <t>xPTS</t>
  </si>
  <si>
    <t>21/22</t>
  </si>
  <si>
    <t>Bundesliga</t>
  </si>
  <si>
    <t>Bayer Leverkusen</t>
  </si>
  <si>
    <t>Bayern Munich</t>
  </si>
  <si>
    <t>Borussia Dortmund</t>
  </si>
  <si>
    <t>EPL</t>
  </si>
  <si>
    <t>Arsenal</t>
  </si>
  <si>
    <t>Chelsea</t>
  </si>
  <si>
    <t>Liverpool</t>
  </si>
  <si>
    <t>Manchester City</t>
  </si>
  <si>
    <t>La_liga</t>
  </si>
  <si>
    <t>Barcelona</t>
  </si>
  <si>
    <t>Real Madrid</t>
  </si>
  <si>
    <t>Real Sociedad</t>
  </si>
  <si>
    <t>Serie_A</t>
  </si>
  <si>
    <t>AC Milan</t>
  </si>
  <si>
    <t>Atalanta</t>
  </si>
  <si>
    <t>Inter</t>
  </si>
  <si>
    <t>Napoli</t>
  </si>
  <si>
    <t>22/23</t>
  </si>
  <si>
    <t>23/24</t>
  </si>
  <si>
    <t>Goal_diff</t>
  </si>
  <si>
    <t>xGD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</si>
</sst>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abSelected="1" workbookViewId="0">
      <selection activeCell="C21" sqref="C21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</v>
      </c>
      <c r="K1" s="1" t="s">
        <v>9</v>
      </c>
      <c r="L1" s="1" t="s">
        <v>10</v>
      </c>
      <c r="M1" s="1" t="s">
        <v>12</v>
      </c>
      <c r="N1" s="1" t="s">
        <v>42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t="s">
        <v>20</v>
      </c>
      <c r="B2" t="s">
        <v>21</v>
      </c>
      <c r="C2" t="s">
        <v>22</v>
      </c>
      <c r="D2">
        <v>34</v>
      </c>
      <c r="E2">
        <v>19</v>
      </c>
      <c r="F2">
        <v>7</v>
      </c>
      <c r="G2">
        <v>8</v>
      </c>
      <c r="H2">
        <v>80</v>
      </c>
      <c r="I2">
        <v>47</v>
      </c>
      <c r="J2">
        <f>H2-I2</f>
        <v>33</v>
      </c>
      <c r="K2">
        <v>64</v>
      </c>
      <c r="L2">
        <v>66.312395000000009</v>
      </c>
      <c r="M2">
        <v>45.015163000000001</v>
      </c>
      <c r="N2">
        <f>L2-M2</f>
        <v>21.297232000000008</v>
      </c>
      <c r="O2">
        <v>61.765734000000002</v>
      </c>
      <c r="P2">
        <v>41.984059999999999</v>
      </c>
      <c r="Q2">
        <v>19.781673999999999</v>
      </c>
      <c r="R2">
        <v>12.973292032492481</v>
      </c>
      <c r="S2">
        <v>13.364958888518281</v>
      </c>
      <c r="T2">
        <v>283</v>
      </c>
      <c r="U2">
        <v>232</v>
      </c>
      <c r="V2">
        <v>59.230400000000003</v>
      </c>
    </row>
    <row r="3" spans="1:22" x14ac:dyDescent="0.3">
      <c r="A3" t="s">
        <v>20</v>
      </c>
      <c r="B3" t="s">
        <v>21</v>
      </c>
      <c r="C3" t="s">
        <v>23</v>
      </c>
      <c r="D3">
        <v>34</v>
      </c>
      <c r="E3">
        <v>24</v>
      </c>
      <c r="F3">
        <v>5</v>
      </c>
      <c r="G3">
        <v>5</v>
      </c>
      <c r="H3">
        <v>97</v>
      </c>
      <c r="I3">
        <v>37</v>
      </c>
      <c r="J3">
        <f t="shared" ref="J3:J43" si="0">H3-I3</f>
        <v>60</v>
      </c>
      <c r="K3">
        <v>77</v>
      </c>
      <c r="L3">
        <v>99.905524999999997</v>
      </c>
      <c r="M3">
        <v>38.609637999999997</v>
      </c>
      <c r="N3">
        <f t="shared" ref="N3:N43" si="1">L3-M3</f>
        <v>61.295887</v>
      </c>
      <c r="O3">
        <v>96.116648999999995</v>
      </c>
      <c r="P3">
        <v>37.094166999999999</v>
      </c>
      <c r="Q3">
        <v>59.022481999999997</v>
      </c>
      <c r="R3">
        <v>8.4128837483481345</v>
      </c>
      <c r="S3">
        <v>18.69203259915226</v>
      </c>
      <c r="T3">
        <v>522</v>
      </c>
      <c r="U3">
        <v>162</v>
      </c>
      <c r="V3">
        <v>78.834400000000002</v>
      </c>
    </row>
    <row r="4" spans="1:22" x14ac:dyDescent="0.3">
      <c r="A4" t="s">
        <v>20</v>
      </c>
      <c r="B4" t="s">
        <v>21</v>
      </c>
      <c r="C4" t="s">
        <v>24</v>
      </c>
      <c r="D4">
        <v>34</v>
      </c>
      <c r="E4">
        <v>22</v>
      </c>
      <c r="F4">
        <v>3</v>
      </c>
      <c r="G4">
        <v>9</v>
      </c>
      <c r="H4">
        <v>85</v>
      </c>
      <c r="I4">
        <v>52</v>
      </c>
      <c r="J4">
        <f t="shared" si="0"/>
        <v>33</v>
      </c>
      <c r="K4">
        <v>69</v>
      </c>
      <c r="L4">
        <v>65.646279000000007</v>
      </c>
      <c r="M4">
        <v>47.673329000000003</v>
      </c>
      <c r="N4">
        <f t="shared" si="1"/>
        <v>17.972950000000004</v>
      </c>
      <c r="O4">
        <v>57.310898999999992</v>
      </c>
      <c r="P4">
        <v>43.126752000000003</v>
      </c>
      <c r="Q4">
        <v>14.184146999999999</v>
      </c>
      <c r="R4">
        <v>10.63882181157623</v>
      </c>
      <c r="S4">
        <v>15.73451614910155</v>
      </c>
      <c r="T4">
        <v>306</v>
      </c>
      <c r="U4">
        <v>198</v>
      </c>
      <c r="V4">
        <v>58.3</v>
      </c>
    </row>
    <row r="5" spans="1:22" x14ac:dyDescent="0.3">
      <c r="A5" t="s">
        <v>20</v>
      </c>
      <c r="B5" t="s">
        <v>25</v>
      </c>
      <c r="C5" t="s">
        <v>26</v>
      </c>
      <c r="D5">
        <v>38</v>
      </c>
      <c r="E5">
        <v>22</v>
      </c>
      <c r="F5">
        <v>3</v>
      </c>
      <c r="G5">
        <v>13</v>
      </c>
      <c r="H5">
        <v>61</v>
      </c>
      <c r="I5">
        <v>48</v>
      </c>
      <c r="J5">
        <f t="shared" si="0"/>
        <v>13</v>
      </c>
      <c r="K5">
        <v>69</v>
      </c>
      <c r="L5">
        <v>63.391577000000012</v>
      </c>
      <c r="M5">
        <v>48.389505999999997</v>
      </c>
      <c r="N5">
        <f t="shared" si="1"/>
        <v>15.002071000000015</v>
      </c>
      <c r="O5">
        <v>57.191476000000002</v>
      </c>
      <c r="P5">
        <v>43.822491999999997</v>
      </c>
      <c r="Q5">
        <v>13.368983999999999</v>
      </c>
      <c r="R5">
        <v>14.4785513444541</v>
      </c>
      <c r="S5">
        <v>15.42555299046793</v>
      </c>
      <c r="T5">
        <v>314</v>
      </c>
      <c r="U5">
        <v>220</v>
      </c>
      <c r="V5">
        <v>64.762199999999993</v>
      </c>
    </row>
    <row r="6" spans="1:22" x14ac:dyDescent="0.3">
      <c r="A6" t="s">
        <v>20</v>
      </c>
      <c r="B6" t="s">
        <v>25</v>
      </c>
      <c r="C6" t="s">
        <v>27</v>
      </c>
      <c r="D6">
        <v>38</v>
      </c>
      <c r="E6">
        <v>21</v>
      </c>
      <c r="F6">
        <v>11</v>
      </c>
      <c r="G6">
        <v>6</v>
      </c>
      <c r="H6">
        <v>76</v>
      </c>
      <c r="I6">
        <v>33</v>
      </c>
      <c r="J6">
        <f t="shared" si="0"/>
        <v>43</v>
      </c>
      <c r="K6">
        <v>74</v>
      </c>
      <c r="L6">
        <v>69.297032000000002</v>
      </c>
      <c r="M6">
        <v>35.115624199999992</v>
      </c>
      <c r="N6">
        <f t="shared" si="1"/>
        <v>34.181407800000009</v>
      </c>
      <c r="O6">
        <v>62.446511999999998</v>
      </c>
      <c r="P6">
        <v>30.548610199999999</v>
      </c>
      <c r="Q6">
        <v>31.8979018</v>
      </c>
      <c r="R6">
        <v>9.3918491351078472</v>
      </c>
      <c r="S6">
        <v>19.039675599097379</v>
      </c>
      <c r="T6">
        <v>385</v>
      </c>
      <c r="U6">
        <v>163</v>
      </c>
      <c r="V6">
        <v>73.383399999999995</v>
      </c>
    </row>
    <row r="7" spans="1:22" x14ac:dyDescent="0.3">
      <c r="A7" t="s">
        <v>20</v>
      </c>
      <c r="B7" t="s">
        <v>25</v>
      </c>
      <c r="C7" t="s">
        <v>28</v>
      </c>
      <c r="D7">
        <v>38</v>
      </c>
      <c r="E7">
        <v>28</v>
      </c>
      <c r="F7">
        <v>8</v>
      </c>
      <c r="G7">
        <v>2</v>
      </c>
      <c r="H7">
        <v>94</v>
      </c>
      <c r="I7">
        <v>26</v>
      </c>
      <c r="J7">
        <f t="shared" si="0"/>
        <v>68</v>
      </c>
      <c r="K7">
        <v>92</v>
      </c>
      <c r="L7">
        <v>93.022397999999995</v>
      </c>
      <c r="M7">
        <v>32.731054999999998</v>
      </c>
      <c r="N7">
        <f t="shared" si="1"/>
        <v>60.291342999999998</v>
      </c>
      <c r="O7">
        <v>86.831019999999995</v>
      </c>
      <c r="P7">
        <v>32.731054999999998</v>
      </c>
      <c r="Q7">
        <v>54.099965000000012</v>
      </c>
      <c r="R7">
        <v>8.4158865837166399</v>
      </c>
      <c r="S7">
        <v>24.405886078371569</v>
      </c>
      <c r="T7">
        <v>461</v>
      </c>
      <c r="U7">
        <v>159</v>
      </c>
      <c r="V7">
        <v>86.563400000000016</v>
      </c>
    </row>
    <row r="8" spans="1:22" x14ac:dyDescent="0.3">
      <c r="A8" t="s">
        <v>20</v>
      </c>
      <c r="B8" t="s">
        <v>25</v>
      </c>
      <c r="C8" t="s">
        <v>29</v>
      </c>
      <c r="D8">
        <v>38</v>
      </c>
      <c r="E8">
        <v>29</v>
      </c>
      <c r="F8">
        <v>6</v>
      </c>
      <c r="G8">
        <v>3</v>
      </c>
      <c r="H8">
        <v>99</v>
      </c>
      <c r="I8">
        <v>26</v>
      </c>
      <c r="J8">
        <f t="shared" si="0"/>
        <v>73</v>
      </c>
      <c r="K8">
        <v>93</v>
      </c>
      <c r="L8">
        <v>93.399872999999985</v>
      </c>
      <c r="M8">
        <v>25.212243999999998</v>
      </c>
      <c r="N8">
        <f t="shared" si="1"/>
        <v>68.187628999999987</v>
      </c>
      <c r="O8">
        <v>86.324232999999978</v>
      </c>
      <c r="P8">
        <v>24.451079</v>
      </c>
      <c r="Q8">
        <v>61.873154000000007</v>
      </c>
      <c r="R8">
        <v>9.2848339174581689</v>
      </c>
      <c r="S8">
        <v>27.92884889465984</v>
      </c>
      <c r="T8">
        <v>508</v>
      </c>
      <c r="U8">
        <v>138</v>
      </c>
      <c r="V8">
        <v>91.884499999999989</v>
      </c>
    </row>
    <row r="9" spans="1:22" x14ac:dyDescent="0.3">
      <c r="A9" t="s">
        <v>20</v>
      </c>
      <c r="B9" t="s">
        <v>30</v>
      </c>
      <c r="C9" t="s">
        <v>31</v>
      </c>
      <c r="D9">
        <v>38</v>
      </c>
      <c r="E9">
        <v>21</v>
      </c>
      <c r="F9">
        <v>10</v>
      </c>
      <c r="G9">
        <v>7</v>
      </c>
      <c r="H9">
        <v>68</v>
      </c>
      <c r="I9">
        <v>38</v>
      </c>
      <c r="J9">
        <f t="shared" si="0"/>
        <v>30</v>
      </c>
      <c r="K9">
        <v>73</v>
      </c>
      <c r="L9">
        <v>70.541760999999994</v>
      </c>
      <c r="M9">
        <v>35.079571000000001</v>
      </c>
      <c r="N9">
        <f t="shared" si="1"/>
        <v>35.462189999999993</v>
      </c>
      <c r="O9">
        <v>65.338828000000007</v>
      </c>
      <c r="P9">
        <v>32.849739999999997</v>
      </c>
      <c r="Q9">
        <v>32.489088000000002</v>
      </c>
      <c r="R9">
        <v>8.1828139648731124</v>
      </c>
      <c r="S9">
        <v>17.164770709872499</v>
      </c>
      <c r="T9">
        <v>317</v>
      </c>
      <c r="U9">
        <v>161</v>
      </c>
      <c r="V9">
        <v>73.601799999999983</v>
      </c>
    </row>
    <row r="10" spans="1:22" x14ac:dyDescent="0.3">
      <c r="A10" t="s">
        <v>20</v>
      </c>
      <c r="B10" t="s">
        <v>30</v>
      </c>
      <c r="C10" t="s">
        <v>32</v>
      </c>
      <c r="D10">
        <v>38</v>
      </c>
      <c r="E10">
        <v>26</v>
      </c>
      <c r="F10">
        <v>8</v>
      </c>
      <c r="G10">
        <v>4</v>
      </c>
      <c r="H10">
        <v>80</v>
      </c>
      <c r="I10">
        <v>31</v>
      </c>
      <c r="J10">
        <f t="shared" si="0"/>
        <v>49</v>
      </c>
      <c r="K10">
        <v>86</v>
      </c>
      <c r="L10">
        <v>80.218008000000012</v>
      </c>
      <c r="M10">
        <v>45.781798999999992</v>
      </c>
      <c r="N10">
        <f t="shared" si="1"/>
        <v>34.436209000000019</v>
      </c>
      <c r="O10">
        <v>71.298796999999993</v>
      </c>
      <c r="P10">
        <v>41.965215999999998</v>
      </c>
      <c r="Q10">
        <v>29.333580999999999</v>
      </c>
      <c r="R10">
        <v>12.692565623081711</v>
      </c>
      <c r="S10">
        <v>15.876347617548539</v>
      </c>
      <c r="T10">
        <v>465</v>
      </c>
      <c r="U10">
        <v>211</v>
      </c>
      <c r="V10">
        <v>73.587899999999991</v>
      </c>
    </row>
    <row r="11" spans="1:22" x14ac:dyDescent="0.3">
      <c r="A11" t="s">
        <v>20</v>
      </c>
      <c r="B11" t="s">
        <v>30</v>
      </c>
      <c r="C11" t="s">
        <v>33</v>
      </c>
      <c r="D11">
        <v>38</v>
      </c>
      <c r="E11">
        <v>17</v>
      </c>
      <c r="F11">
        <v>11</v>
      </c>
      <c r="G11">
        <v>10</v>
      </c>
      <c r="H11">
        <v>40</v>
      </c>
      <c r="I11">
        <v>37</v>
      </c>
      <c r="J11">
        <f t="shared" si="0"/>
        <v>3</v>
      </c>
      <c r="K11">
        <v>62</v>
      </c>
      <c r="L11">
        <v>56.085362000000003</v>
      </c>
      <c r="M11">
        <v>41.513023999999987</v>
      </c>
      <c r="N11">
        <f t="shared" si="1"/>
        <v>14.572338000000016</v>
      </c>
      <c r="O11">
        <v>48.649160000000002</v>
      </c>
      <c r="P11">
        <v>37.053344000000003</v>
      </c>
      <c r="Q11">
        <v>11.595815999999999</v>
      </c>
      <c r="R11">
        <v>9.1530028197139846</v>
      </c>
      <c r="S11">
        <v>12.604117137415701</v>
      </c>
      <c r="T11">
        <v>268</v>
      </c>
      <c r="U11">
        <v>189</v>
      </c>
      <c r="V11">
        <v>64.024699999999996</v>
      </c>
    </row>
    <row r="12" spans="1:22" x14ac:dyDescent="0.3">
      <c r="A12" t="s">
        <v>20</v>
      </c>
      <c r="B12" t="s">
        <v>34</v>
      </c>
      <c r="C12" t="s">
        <v>35</v>
      </c>
      <c r="D12">
        <v>38</v>
      </c>
      <c r="E12">
        <v>26</v>
      </c>
      <c r="F12">
        <v>8</v>
      </c>
      <c r="G12">
        <v>4</v>
      </c>
      <c r="H12">
        <v>69</v>
      </c>
      <c r="I12">
        <v>31</v>
      </c>
      <c r="J12">
        <f t="shared" si="0"/>
        <v>38</v>
      </c>
      <c r="K12">
        <v>86</v>
      </c>
      <c r="L12">
        <v>67.338107999999991</v>
      </c>
      <c r="M12">
        <v>34.631340000000002</v>
      </c>
      <c r="N12">
        <f t="shared" si="1"/>
        <v>32.70676799999999</v>
      </c>
      <c r="O12">
        <v>61.159033999999998</v>
      </c>
      <c r="P12">
        <v>30.824845</v>
      </c>
      <c r="Q12">
        <v>30.334188999999999</v>
      </c>
      <c r="R12">
        <v>9.2511169436200458</v>
      </c>
      <c r="S12">
        <v>12.36321349468831</v>
      </c>
      <c r="T12">
        <v>301</v>
      </c>
      <c r="U12">
        <v>184</v>
      </c>
      <c r="V12">
        <v>72.815600000000003</v>
      </c>
    </row>
    <row r="13" spans="1:22" x14ac:dyDescent="0.3">
      <c r="A13" t="s">
        <v>20</v>
      </c>
      <c r="B13" t="s">
        <v>34</v>
      </c>
      <c r="C13" t="s">
        <v>36</v>
      </c>
      <c r="D13">
        <v>38</v>
      </c>
      <c r="E13">
        <v>16</v>
      </c>
      <c r="F13">
        <v>11</v>
      </c>
      <c r="G13">
        <v>11</v>
      </c>
      <c r="H13">
        <v>65</v>
      </c>
      <c r="I13">
        <v>48</v>
      </c>
      <c r="J13">
        <f t="shared" si="0"/>
        <v>17</v>
      </c>
      <c r="K13">
        <v>59</v>
      </c>
      <c r="L13">
        <v>68.72246899999999</v>
      </c>
      <c r="M13">
        <v>46.5989073</v>
      </c>
      <c r="N13">
        <f t="shared" si="1"/>
        <v>22.123561699999989</v>
      </c>
      <c r="O13">
        <v>64.154708999999997</v>
      </c>
      <c r="P13">
        <v>42.0311223</v>
      </c>
      <c r="Q13">
        <v>22.123586700000001</v>
      </c>
      <c r="R13">
        <v>8.6036332123040111</v>
      </c>
      <c r="S13">
        <v>13.87448435981444</v>
      </c>
      <c r="T13">
        <v>391</v>
      </c>
      <c r="U13">
        <v>182</v>
      </c>
      <c r="V13">
        <v>64.441400000000002</v>
      </c>
    </row>
    <row r="14" spans="1:22" x14ac:dyDescent="0.3">
      <c r="A14" t="s">
        <v>20</v>
      </c>
      <c r="B14" t="s">
        <v>34</v>
      </c>
      <c r="C14" t="s">
        <v>37</v>
      </c>
      <c r="D14">
        <v>38</v>
      </c>
      <c r="E14">
        <v>25</v>
      </c>
      <c r="F14">
        <v>9</v>
      </c>
      <c r="G14">
        <v>4</v>
      </c>
      <c r="H14">
        <v>84</v>
      </c>
      <c r="I14">
        <v>32</v>
      </c>
      <c r="J14">
        <f t="shared" si="0"/>
        <v>52</v>
      </c>
      <c r="K14">
        <v>84</v>
      </c>
      <c r="L14">
        <v>90.384111000000004</v>
      </c>
      <c r="M14">
        <v>39.877886999999987</v>
      </c>
      <c r="N14">
        <f t="shared" si="1"/>
        <v>50.506224000000017</v>
      </c>
      <c r="O14">
        <v>81.793342999999993</v>
      </c>
      <c r="P14">
        <v>36.832681999999991</v>
      </c>
      <c r="Q14">
        <v>44.960660999999988</v>
      </c>
      <c r="R14">
        <v>11.107027800466341</v>
      </c>
      <c r="S14">
        <v>18.371331305836659</v>
      </c>
      <c r="T14">
        <v>408</v>
      </c>
      <c r="U14">
        <v>186</v>
      </c>
      <c r="V14">
        <v>80.699999999999989</v>
      </c>
    </row>
    <row r="15" spans="1:22" x14ac:dyDescent="0.3">
      <c r="A15" t="s">
        <v>20</v>
      </c>
      <c r="B15" t="s">
        <v>34</v>
      </c>
      <c r="C15" t="s">
        <v>38</v>
      </c>
      <c r="D15">
        <v>38</v>
      </c>
      <c r="E15">
        <v>24</v>
      </c>
      <c r="F15">
        <v>7</v>
      </c>
      <c r="G15">
        <v>7</v>
      </c>
      <c r="H15">
        <v>74</v>
      </c>
      <c r="I15">
        <v>31</v>
      </c>
      <c r="J15">
        <f t="shared" si="0"/>
        <v>43</v>
      </c>
      <c r="K15">
        <v>79</v>
      </c>
      <c r="L15">
        <v>63.642916</v>
      </c>
      <c r="M15">
        <v>34.404961900000004</v>
      </c>
      <c r="N15">
        <f t="shared" si="1"/>
        <v>29.237954099999996</v>
      </c>
      <c r="O15">
        <v>52.911833000000001</v>
      </c>
      <c r="P15">
        <v>33.643661900000012</v>
      </c>
      <c r="Q15">
        <v>19.2681711</v>
      </c>
      <c r="R15">
        <v>10.786302486401841</v>
      </c>
      <c r="S15">
        <v>18.194412970459531</v>
      </c>
      <c r="T15">
        <v>351</v>
      </c>
      <c r="U15">
        <v>210</v>
      </c>
      <c r="V15">
        <v>72.025600000000011</v>
      </c>
    </row>
    <row r="16" spans="1:22" x14ac:dyDescent="0.3">
      <c r="A16" t="s">
        <v>39</v>
      </c>
      <c r="B16" t="s">
        <v>21</v>
      </c>
      <c r="C16" t="s">
        <v>22</v>
      </c>
      <c r="D16">
        <v>34</v>
      </c>
      <c r="E16">
        <v>14</v>
      </c>
      <c r="F16">
        <v>8</v>
      </c>
      <c r="G16">
        <v>12</v>
      </c>
      <c r="H16">
        <v>57</v>
      </c>
      <c r="I16">
        <v>49</v>
      </c>
      <c r="J16">
        <f t="shared" si="0"/>
        <v>8</v>
      </c>
      <c r="K16">
        <v>50</v>
      </c>
      <c r="L16">
        <v>53.683777999999997</v>
      </c>
      <c r="M16">
        <v>46.781453999999997</v>
      </c>
      <c r="N16">
        <f t="shared" si="1"/>
        <v>6.9023240000000001</v>
      </c>
      <c r="O16">
        <v>48.379346000000012</v>
      </c>
      <c r="P16">
        <v>41.477099000000003</v>
      </c>
      <c r="Q16">
        <v>6.9022469999999991</v>
      </c>
      <c r="R16">
        <v>16.181913606041501</v>
      </c>
      <c r="S16">
        <v>12.38662742978255</v>
      </c>
      <c r="T16">
        <v>217</v>
      </c>
      <c r="U16">
        <v>221</v>
      </c>
      <c r="V16">
        <v>52.592799999999997</v>
      </c>
    </row>
    <row r="17" spans="1:22" x14ac:dyDescent="0.3">
      <c r="A17" t="s">
        <v>39</v>
      </c>
      <c r="B17" t="s">
        <v>21</v>
      </c>
      <c r="C17" t="s">
        <v>23</v>
      </c>
      <c r="D17">
        <v>34</v>
      </c>
      <c r="E17">
        <v>21</v>
      </c>
      <c r="F17">
        <v>8</v>
      </c>
      <c r="G17">
        <v>5</v>
      </c>
      <c r="H17">
        <v>92</v>
      </c>
      <c r="I17">
        <v>38</v>
      </c>
      <c r="J17">
        <f t="shared" si="0"/>
        <v>54</v>
      </c>
      <c r="K17">
        <v>71</v>
      </c>
      <c r="L17">
        <v>85.118183999999999</v>
      </c>
      <c r="M17">
        <v>37.0069594</v>
      </c>
      <c r="N17">
        <f t="shared" si="1"/>
        <v>48.1112246</v>
      </c>
      <c r="O17">
        <v>81.186203999999989</v>
      </c>
      <c r="P17">
        <v>29.429183399999999</v>
      </c>
      <c r="Q17">
        <v>51.75702059999999</v>
      </c>
      <c r="R17">
        <v>8.980120189626227</v>
      </c>
      <c r="S17">
        <v>17.547928247379382</v>
      </c>
      <c r="T17">
        <v>437</v>
      </c>
      <c r="U17">
        <v>166</v>
      </c>
      <c r="V17">
        <v>71.990499999999997</v>
      </c>
    </row>
    <row r="18" spans="1:22" x14ac:dyDescent="0.3">
      <c r="A18" t="s">
        <v>39</v>
      </c>
      <c r="B18" t="s">
        <v>21</v>
      </c>
      <c r="C18" t="s">
        <v>24</v>
      </c>
      <c r="D18">
        <v>34</v>
      </c>
      <c r="E18">
        <v>22</v>
      </c>
      <c r="F18">
        <v>5</v>
      </c>
      <c r="G18">
        <v>7</v>
      </c>
      <c r="H18">
        <v>83</v>
      </c>
      <c r="I18">
        <v>44</v>
      </c>
      <c r="J18">
        <f t="shared" si="0"/>
        <v>39</v>
      </c>
      <c r="K18">
        <v>71</v>
      </c>
      <c r="L18">
        <v>76.970558999999994</v>
      </c>
      <c r="M18">
        <v>43.230809899999997</v>
      </c>
      <c r="N18">
        <f t="shared" si="1"/>
        <v>33.739749099999997</v>
      </c>
      <c r="O18">
        <v>72.423895999999999</v>
      </c>
      <c r="P18">
        <v>42.473032900000007</v>
      </c>
      <c r="Q18">
        <v>29.950863099999999</v>
      </c>
      <c r="R18">
        <v>10.460566470540829</v>
      </c>
      <c r="S18">
        <v>14.578697174617959</v>
      </c>
      <c r="T18">
        <v>314</v>
      </c>
      <c r="U18">
        <v>181</v>
      </c>
      <c r="V18">
        <v>64.690100000000001</v>
      </c>
    </row>
    <row r="19" spans="1:22" x14ac:dyDescent="0.3">
      <c r="A19" t="s">
        <v>39</v>
      </c>
      <c r="B19" t="s">
        <v>25</v>
      </c>
      <c r="C19" t="s">
        <v>26</v>
      </c>
      <c r="D19">
        <v>38</v>
      </c>
      <c r="E19">
        <v>26</v>
      </c>
      <c r="F19">
        <v>6</v>
      </c>
      <c r="G19">
        <v>6</v>
      </c>
      <c r="H19">
        <v>88</v>
      </c>
      <c r="I19">
        <v>43</v>
      </c>
      <c r="J19">
        <f t="shared" si="0"/>
        <v>45</v>
      </c>
      <c r="K19">
        <v>84</v>
      </c>
      <c r="L19">
        <v>76.51230799999999</v>
      </c>
      <c r="M19">
        <v>45.163392299999998</v>
      </c>
      <c r="N19">
        <f t="shared" si="1"/>
        <v>31.348915699999992</v>
      </c>
      <c r="O19">
        <v>73.467623999999986</v>
      </c>
      <c r="P19">
        <v>41.357535300000002</v>
      </c>
      <c r="Q19">
        <v>32.110088699999999</v>
      </c>
      <c r="R19">
        <v>9.5398464189829379</v>
      </c>
      <c r="S19">
        <v>14.99342395574314</v>
      </c>
      <c r="T19">
        <v>452</v>
      </c>
      <c r="U19">
        <v>199</v>
      </c>
      <c r="V19">
        <v>72.533799999999999</v>
      </c>
    </row>
    <row r="20" spans="1:22" x14ac:dyDescent="0.3">
      <c r="A20" t="s">
        <v>39</v>
      </c>
      <c r="B20" t="s">
        <v>25</v>
      </c>
      <c r="C20" t="s">
        <v>27</v>
      </c>
      <c r="D20">
        <v>38</v>
      </c>
      <c r="E20">
        <v>11</v>
      </c>
      <c r="F20">
        <v>11</v>
      </c>
      <c r="G20">
        <v>16</v>
      </c>
      <c r="H20">
        <v>38</v>
      </c>
      <c r="I20">
        <v>47</v>
      </c>
      <c r="J20">
        <f t="shared" si="0"/>
        <v>-9</v>
      </c>
      <c r="K20">
        <v>44</v>
      </c>
      <c r="L20">
        <v>51.894922999999991</v>
      </c>
      <c r="M20">
        <v>54.022507000000012</v>
      </c>
      <c r="N20">
        <f t="shared" si="1"/>
        <v>-2.1275840000000201</v>
      </c>
      <c r="O20">
        <v>49.611408999999988</v>
      </c>
      <c r="P20">
        <v>53.261347000000008</v>
      </c>
      <c r="Q20">
        <v>-3.6499380000000001</v>
      </c>
      <c r="R20">
        <v>9.7519935838080247</v>
      </c>
      <c r="S20">
        <v>14.712960018741709</v>
      </c>
      <c r="T20">
        <v>322</v>
      </c>
      <c r="U20">
        <v>214</v>
      </c>
      <c r="V20">
        <v>52.281999999999996</v>
      </c>
    </row>
    <row r="21" spans="1:22" x14ac:dyDescent="0.3">
      <c r="A21" t="s">
        <v>39</v>
      </c>
      <c r="B21" t="s">
        <v>25</v>
      </c>
      <c r="C21" t="s">
        <v>28</v>
      </c>
      <c r="D21">
        <v>38</v>
      </c>
      <c r="E21">
        <v>19</v>
      </c>
      <c r="F21">
        <v>10</v>
      </c>
      <c r="G21">
        <v>9</v>
      </c>
      <c r="H21">
        <v>75</v>
      </c>
      <c r="I21">
        <v>47</v>
      </c>
      <c r="J21">
        <f t="shared" si="0"/>
        <v>28</v>
      </c>
      <c r="K21">
        <v>67</v>
      </c>
      <c r="L21">
        <v>80.771996999999999</v>
      </c>
      <c r="M21">
        <v>55.773338000000003</v>
      </c>
      <c r="N21">
        <f t="shared" si="1"/>
        <v>24.998658999999996</v>
      </c>
      <c r="O21">
        <v>77.727328</v>
      </c>
      <c r="P21">
        <v>52.728658000000003</v>
      </c>
      <c r="Q21">
        <v>24.998670000000001</v>
      </c>
      <c r="R21">
        <v>9.6761854549921971</v>
      </c>
      <c r="S21">
        <v>21.319243279239</v>
      </c>
      <c r="T21">
        <v>419</v>
      </c>
      <c r="U21">
        <v>209</v>
      </c>
      <c r="V21">
        <v>67.369299999999981</v>
      </c>
    </row>
    <row r="22" spans="1:22" x14ac:dyDescent="0.3">
      <c r="A22" t="s">
        <v>39</v>
      </c>
      <c r="B22" t="s">
        <v>25</v>
      </c>
      <c r="C22" t="s">
        <v>29</v>
      </c>
      <c r="D22">
        <v>38</v>
      </c>
      <c r="E22">
        <v>28</v>
      </c>
      <c r="F22">
        <v>5</v>
      </c>
      <c r="G22">
        <v>5</v>
      </c>
      <c r="H22">
        <v>94</v>
      </c>
      <c r="I22">
        <v>33</v>
      </c>
      <c r="J22">
        <f t="shared" si="0"/>
        <v>61</v>
      </c>
      <c r="K22">
        <v>89</v>
      </c>
      <c r="L22">
        <v>84.32156700000003</v>
      </c>
      <c r="M22">
        <v>34.208414899999987</v>
      </c>
      <c r="N22">
        <f t="shared" si="1"/>
        <v>50.113152100000043</v>
      </c>
      <c r="O22">
        <v>76.709891000000013</v>
      </c>
      <c r="P22">
        <v>31.924897699999999</v>
      </c>
      <c r="Q22">
        <v>44.784993299999996</v>
      </c>
      <c r="R22">
        <v>11.10746790125129</v>
      </c>
      <c r="S22">
        <v>25.950921104063319</v>
      </c>
      <c r="T22">
        <v>450</v>
      </c>
      <c r="U22">
        <v>154</v>
      </c>
      <c r="V22">
        <v>83.042300000000012</v>
      </c>
    </row>
    <row r="23" spans="1:22" x14ac:dyDescent="0.3">
      <c r="A23" t="s">
        <v>39</v>
      </c>
      <c r="B23" t="s">
        <v>30</v>
      </c>
      <c r="C23" t="s">
        <v>31</v>
      </c>
      <c r="D23">
        <v>38</v>
      </c>
      <c r="E23">
        <v>28</v>
      </c>
      <c r="F23">
        <v>4</v>
      </c>
      <c r="G23">
        <v>6</v>
      </c>
      <c r="H23">
        <v>70</v>
      </c>
      <c r="I23">
        <v>20</v>
      </c>
      <c r="J23">
        <f t="shared" si="0"/>
        <v>50</v>
      </c>
      <c r="K23">
        <v>88</v>
      </c>
      <c r="L23">
        <v>82.792880000000011</v>
      </c>
      <c r="M23">
        <v>33.339881000000013</v>
      </c>
      <c r="N23">
        <f t="shared" si="1"/>
        <v>49.452998999999998</v>
      </c>
      <c r="O23">
        <v>81.306320000000014</v>
      </c>
      <c r="P23">
        <v>31.110052</v>
      </c>
      <c r="Q23">
        <v>50.196267999999989</v>
      </c>
      <c r="R23">
        <v>7.722263045251526</v>
      </c>
      <c r="S23">
        <v>19.222043195055889</v>
      </c>
      <c r="T23">
        <v>426</v>
      </c>
      <c r="U23">
        <v>159</v>
      </c>
      <c r="V23">
        <v>79.307299999999998</v>
      </c>
    </row>
    <row r="24" spans="1:22" x14ac:dyDescent="0.3">
      <c r="A24" t="s">
        <v>39</v>
      </c>
      <c r="B24" t="s">
        <v>30</v>
      </c>
      <c r="C24" t="s">
        <v>32</v>
      </c>
      <c r="D24">
        <v>38</v>
      </c>
      <c r="E24">
        <v>24</v>
      </c>
      <c r="F24">
        <v>6</v>
      </c>
      <c r="G24">
        <v>8</v>
      </c>
      <c r="H24">
        <v>75</v>
      </c>
      <c r="I24">
        <v>36</v>
      </c>
      <c r="J24">
        <f t="shared" si="0"/>
        <v>39</v>
      </c>
      <c r="K24">
        <v>78</v>
      </c>
      <c r="L24">
        <v>79.394187000000002</v>
      </c>
      <c r="M24">
        <v>39.443736000000001</v>
      </c>
      <c r="N24">
        <f t="shared" si="1"/>
        <v>39.950451000000001</v>
      </c>
      <c r="O24">
        <v>70.353290999999984</v>
      </c>
      <c r="P24">
        <v>35.727344000000002</v>
      </c>
      <c r="Q24">
        <v>34.625946999999996</v>
      </c>
      <c r="R24">
        <v>11.43483605853999</v>
      </c>
      <c r="S24">
        <v>19.08165749525558</v>
      </c>
      <c r="T24">
        <v>408</v>
      </c>
      <c r="U24">
        <v>200</v>
      </c>
      <c r="V24">
        <v>76.458300000000008</v>
      </c>
    </row>
    <row r="25" spans="1:22" x14ac:dyDescent="0.3">
      <c r="A25" t="s">
        <v>39</v>
      </c>
      <c r="B25" t="s">
        <v>30</v>
      </c>
      <c r="C25" t="s">
        <v>33</v>
      </c>
      <c r="D25">
        <v>38</v>
      </c>
      <c r="E25">
        <v>21</v>
      </c>
      <c r="F25">
        <v>8</v>
      </c>
      <c r="G25">
        <v>9</v>
      </c>
      <c r="H25">
        <v>51</v>
      </c>
      <c r="I25">
        <v>35</v>
      </c>
      <c r="J25">
        <f t="shared" si="0"/>
        <v>16</v>
      </c>
      <c r="K25">
        <v>71</v>
      </c>
      <c r="L25">
        <v>62.566445999999999</v>
      </c>
      <c r="M25">
        <v>35.551178999999991</v>
      </c>
      <c r="N25">
        <f t="shared" si="1"/>
        <v>27.015267000000009</v>
      </c>
      <c r="O25">
        <v>59.593335999999987</v>
      </c>
      <c r="P25">
        <v>34.064624999999999</v>
      </c>
      <c r="Q25">
        <v>25.528710999999991</v>
      </c>
      <c r="R25">
        <v>7.6029589984940067</v>
      </c>
      <c r="S25">
        <v>12.393096228378671</v>
      </c>
      <c r="T25">
        <v>252</v>
      </c>
      <c r="U25">
        <v>182</v>
      </c>
      <c r="V25">
        <v>71.82950000000001</v>
      </c>
    </row>
    <row r="26" spans="1:22" x14ac:dyDescent="0.3">
      <c r="A26" t="s">
        <v>39</v>
      </c>
      <c r="B26" t="s">
        <v>34</v>
      </c>
      <c r="C26" t="s">
        <v>35</v>
      </c>
      <c r="D26">
        <v>38</v>
      </c>
      <c r="E26">
        <v>20</v>
      </c>
      <c r="F26">
        <v>10</v>
      </c>
      <c r="G26">
        <v>8</v>
      </c>
      <c r="H26">
        <v>64</v>
      </c>
      <c r="I26">
        <v>43</v>
      </c>
      <c r="J26">
        <f t="shared" si="0"/>
        <v>21</v>
      </c>
      <c r="K26">
        <v>70</v>
      </c>
      <c r="L26">
        <v>69.900788999999989</v>
      </c>
      <c r="M26">
        <v>40.109474300000002</v>
      </c>
      <c r="N26">
        <f t="shared" si="1"/>
        <v>29.791314699999987</v>
      </c>
      <c r="O26">
        <v>66.094287000000008</v>
      </c>
      <c r="P26">
        <v>36.3029893</v>
      </c>
      <c r="Q26">
        <v>29.791297700000001</v>
      </c>
      <c r="R26">
        <v>9.7399497993421331</v>
      </c>
      <c r="S26">
        <v>14.791873765738011</v>
      </c>
      <c r="T26">
        <v>279</v>
      </c>
      <c r="U26">
        <v>206</v>
      </c>
      <c r="V26">
        <v>69.938100000000006</v>
      </c>
    </row>
    <row r="27" spans="1:22" x14ac:dyDescent="0.3">
      <c r="A27" t="s">
        <v>39</v>
      </c>
      <c r="B27" t="s">
        <v>34</v>
      </c>
      <c r="C27" t="s">
        <v>36</v>
      </c>
      <c r="D27">
        <v>38</v>
      </c>
      <c r="E27">
        <v>19</v>
      </c>
      <c r="F27">
        <v>7</v>
      </c>
      <c r="G27">
        <v>12</v>
      </c>
      <c r="H27">
        <v>66</v>
      </c>
      <c r="I27">
        <v>48</v>
      </c>
      <c r="J27">
        <f t="shared" si="0"/>
        <v>18</v>
      </c>
      <c r="K27">
        <v>64</v>
      </c>
      <c r="L27">
        <v>60.486199800000009</v>
      </c>
      <c r="M27">
        <v>45.011029000000008</v>
      </c>
      <c r="N27">
        <f t="shared" si="1"/>
        <v>15.475170800000001</v>
      </c>
      <c r="O27">
        <v>54.231869800000013</v>
      </c>
      <c r="P27">
        <v>42.727125000000008</v>
      </c>
      <c r="Q27">
        <v>11.504744799999999</v>
      </c>
      <c r="R27">
        <v>12.321146863423429</v>
      </c>
      <c r="S27">
        <v>14.12834722417101</v>
      </c>
      <c r="T27">
        <v>315</v>
      </c>
      <c r="U27">
        <v>189</v>
      </c>
      <c r="V27">
        <v>61.73960000000001</v>
      </c>
    </row>
    <row r="28" spans="1:22" x14ac:dyDescent="0.3">
      <c r="A28" t="s">
        <v>39</v>
      </c>
      <c r="B28" t="s">
        <v>34</v>
      </c>
      <c r="C28" t="s">
        <v>37</v>
      </c>
      <c r="D28">
        <v>38</v>
      </c>
      <c r="E28">
        <v>23</v>
      </c>
      <c r="F28">
        <v>3</v>
      </c>
      <c r="G28">
        <v>12</v>
      </c>
      <c r="H28">
        <v>71</v>
      </c>
      <c r="I28">
        <v>42</v>
      </c>
      <c r="J28">
        <f t="shared" si="0"/>
        <v>29</v>
      </c>
      <c r="K28">
        <v>72</v>
      </c>
      <c r="L28">
        <v>71.968300000000013</v>
      </c>
      <c r="M28">
        <v>36.047956999999997</v>
      </c>
      <c r="N28">
        <f t="shared" si="1"/>
        <v>35.920343000000017</v>
      </c>
      <c r="O28">
        <v>68.161799999999999</v>
      </c>
      <c r="P28">
        <v>33.764062000000003</v>
      </c>
      <c r="Q28">
        <v>34.39773799999999</v>
      </c>
      <c r="R28">
        <v>10.991008386760001</v>
      </c>
      <c r="S28">
        <v>20.298405299855869</v>
      </c>
      <c r="T28">
        <v>325</v>
      </c>
      <c r="U28">
        <v>187</v>
      </c>
      <c r="V28">
        <v>76.373800000000003</v>
      </c>
    </row>
    <row r="29" spans="1:22" x14ac:dyDescent="0.3">
      <c r="A29" t="s">
        <v>39</v>
      </c>
      <c r="B29" t="s">
        <v>34</v>
      </c>
      <c r="C29" t="s">
        <v>38</v>
      </c>
      <c r="D29">
        <v>38</v>
      </c>
      <c r="E29">
        <v>28</v>
      </c>
      <c r="F29">
        <v>6</v>
      </c>
      <c r="G29">
        <v>4</v>
      </c>
      <c r="H29">
        <v>77</v>
      </c>
      <c r="I29">
        <v>28</v>
      </c>
      <c r="J29">
        <f t="shared" si="0"/>
        <v>49</v>
      </c>
      <c r="K29">
        <v>90</v>
      </c>
      <c r="L29">
        <v>71.726551000000015</v>
      </c>
      <c r="M29">
        <v>31.961774000000009</v>
      </c>
      <c r="N29">
        <f t="shared" si="1"/>
        <v>39.764777000000009</v>
      </c>
      <c r="O29">
        <v>64.113567999999987</v>
      </c>
      <c r="P29">
        <v>30.439176</v>
      </c>
      <c r="Q29">
        <v>33.67439199999999</v>
      </c>
      <c r="R29">
        <v>10.612096238079429</v>
      </c>
      <c r="S29">
        <v>19.3941858764668</v>
      </c>
      <c r="T29">
        <v>356</v>
      </c>
      <c r="U29">
        <v>175</v>
      </c>
      <c r="V29">
        <v>78.512299999999996</v>
      </c>
    </row>
    <row r="30" spans="1:22" x14ac:dyDescent="0.3">
      <c r="A30" t="s">
        <v>40</v>
      </c>
      <c r="B30" t="s">
        <v>21</v>
      </c>
      <c r="C30" t="s">
        <v>22</v>
      </c>
      <c r="D30">
        <v>34</v>
      </c>
      <c r="E30">
        <v>28</v>
      </c>
      <c r="F30">
        <v>6</v>
      </c>
      <c r="G30">
        <v>0</v>
      </c>
      <c r="H30">
        <v>89</v>
      </c>
      <c r="I30">
        <v>24</v>
      </c>
      <c r="J30">
        <f t="shared" si="0"/>
        <v>65</v>
      </c>
      <c r="K30">
        <v>90</v>
      </c>
      <c r="L30">
        <v>82.012581999999981</v>
      </c>
      <c r="M30">
        <v>32.4277126</v>
      </c>
      <c r="N30">
        <f t="shared" si="1"/>
        <v>49.584869399999981</v>
      </c>
      <c r="O30">
        <v>75.950541999999984</v>
      </c>
      <c r="P30">
        <v>32.4277126</v>
      </c>
      <c r="Q30">
        <v>43.522829399999992</v>
      </c>
      <c r="R30">
        <v>14.697229300636071</v>
      </c>
      <c r="S30">
        <v>23.44502431850243</v>
      </c>
      <c r="T30">
        <v>444</v>
      </c>
      <c r="U30">
        <v>175</v>
      </c>
      <c r="V30">
        <v>76.168700000000001</v>
      </c>
    </row>
    <row r="31" spans="1:22" x14ac:dyDescent="0.3">
      <c r="A31" t="s">
        <v>40</v>
      </c>
      <c r="B31" t="s">
        <v>21</v>
      </c>
      <c r="C31" t="s">
        <v>23</v>
      </c>
      <c r="D31">
        <v>34</v>
      </c>
      <c r="E31">
        <v>23</v>
      </c>
      <c r="F31">
        <v>3</v>
      </c>
      <c r="G31">
        <v>8</v>
      </c>
      <c r="H31">
        <v>94</v>
      </c>
      <c r="I31">
        <v>45</v>
      </c>
      <c r="J31">
        <f t="shared" si="0"/>
        <v>49</v>
      </c>
      <c r="K31">
        <v>72</v>
      </c>
      <c r="L31">
        <v>94.40096800000002</v>
      </c>
      <c r="M31">
        <v>35.224795099999987</v>
      </c>
      <c r="N31">
        <f t="shared" si="1"/>
        <v>59.176172900000033</v>
      </c>
      <c r="O31">
        <v>90.612098000000003</v>
      </c>
      <c r="P31">
        <v>32.193695099999999</v>
      </c>
      <c r="Q31">
        <v>58.418402899999997</v>
      </c>
      <c r="R31">
        <v>12.14099917454174</v>
      </c>
      <c r="S31">
        <v>19.457131477735182</v>
      </c>
      <c r="T31">
        <v>439</v>
      </c>
      <c r="U31">
        <v>187</v>
      </c>
      <c r="V31">
        <v>76.984800000000007</v>
      </c>
    </row>
    <row r="32" spans="1:22" x14ac:dyDescent="0.3">
      <c r="A32" t="s">
        <v>40</v>
      </c>
      <c r="B32" t="s">
        <v>21</v>
      </c>
      <c r="C32" t="s">
        <v>24</v>
      </c>
      <c r="D32">
        <v>34</v>
      </c>
      <c r="E32">
        <v>18</v>
      </c>
      <c r="F32">
        <v>9</v>
      </c>
      <c r="G32">
        <v>7</v>
      </c>
      <c r="H32">
        <v>68</v>
      </c>
      <c r="I32">
        <v>43</v>
      </c>
      <c r="J32">
        <f t="shared" si="0"/>
        <v>25</v>
      </c>
      <c r="K32">
        <v>63</v>
      </c>
      <c r="L32">
        <v>71.164192999999997</v>
      </c>
      <c r="M32">
        <v>55.270049</v>
      </c>
      <c r="N32">
        <f t="shared" si="1"/>
        <v>15.894143999999997</v>
      </c>
      <c r="O32">
        <v>66.617703000000006</v>
      </c>
      <c r="P32">
        <v>50.577973</v>
      </c>
      <c r="Q32">
        <v>16.039729999999999</v>
      </c>
      <c r="R32">
        <v>13.348589333809921</v>
      </c>
      <c r="S32">
        <v>16.076205941807022</v>
      </c>
      <c r="T32">
        <v>312</v>
      </c>
      <c r="U32">
        <v>248</v>
      </c>
      <c r="V32">
        <v>56.875599999999999</v>
      </c>
    </row>
    <row r="33" spans="1:22" x14ac:dyDescent="0.3">
      <c r="A33" t="s">
        <v>40</v>
      </c>
      <c r="B33" t="s">
        <v>25</v>
      </c>
      <c r="C33" t="s">
        <v>26</v>
      </c>
      <c r="D33">
        <v>38</v>
      </c>
      <c r="E33">
        <v>28</v>
      </c>
      <c r="F33">
        <v>5</v>
      </c>
      <c r="G33">
        <v>5</v>
      </c>
      <c r="H33">
        <v>91</v>
      </c>
      <c r="I33">
        <v>29</v>
      </c>
      <c r="J33">
        <f t="shared" si="0"/>
        <v>62</v>
      </c>
      <c r="K33">
        <v>89</v>
      </c>
      <c r="L33">
        <v>84.39247899999998</v>
      </c>
      <c r="M33">
        <v>31.782125399999991</v>
      </c>
      <c r="N33">
        <f t="shared" si="1"/>
        <v>52.610353599999989</v>
      </c>
      <c r="O33">
        <v>76.780828999999997</v>
      </c>
      <c r="P33">
        <v>29.498617400000001</v>
      </c>
      <c r="Q33">
        <v>47.282211600000011</v>
      </c>
      <c r="R33">
        <v>9.7571366119063772</v>
      </c>
      <c r="S33">
        <v>20.113836162053222</v>
      </c>
      <c r="T33">
        <v>531</v>
      </c>
      <c r="U33">
        <v>151</v>
      </c>
      <c r="V33">
        <v>81.937899999999999</v>
      </c>
    </row>
    <row r="34" spans="1:22" x14ac:dyDescent="0.3">
      <c r="A34" t="s">
        <v>40</v>
      </c>
      <c r="B34" t="s">
        <v>25</v>
      </c>
      <c r="C34" t="s">
        <v>27</v>
      </c>
      <c r="D34">
        <v>38</v>
      </c>
      <c r="E34">
        <v>18</v>
      </c>
      <c r="F34">
        <v>9</v>
      </c>
      <c r="G34">
        <v>11</v>
      </c>
      <c r="H34">
        <v>77</v>
      </c>
      <c r="I34">
        <v>63</v>
      </c>
      <c r="J34">
        <f t="shared" si="0"/>
        <v>14</v>
      </c>
      <c r="K34">
        <v>63</v>
      </c>
      <c r="L34">
        <v>80.88151400000001</v>
      </c>
      <c r="M34">
        <v>62.600433000000002</v>
      </c>
      <c r="N34">
        <f t="shared" si="1"/>
        <v>18.281081000000007</v>
      </c>
      <c r="O34">
        <v>71.747501999999997</v>
      </c>
      <c r="P34">
        <v>58.779351000000013</v>
      </c>
      <c r="Q34">
        <v>12.968151000000001</v>
      </c>
      <c r="R34">
        <v>10.53938348159269</v>
      </c>
      <c r="S34">
        <v>15.649274810956481</v>
      </c>
      <c r="T34">
        <v>382</v>
      </c>
      <c r="U34">
        <v>292</v>
      </c>
      <c r="V34">
        <v>64.197599999999994</v>
      </c>
    </row>
    <row r="35" spans="1:22" x14ac:dyDescent="0.3">
      <c r="A35" t="s">
        <v>40</v>
      </c>
      <c r="B35" t="s">
        <v>25</v>
      </c>
      <c r="C35" t="s">
        <v>28</v>
      </c>
      <c r="D35">
        <v>38</v>
      </c>
      <c r="E35">
        <v>24</v>
      </c>
      <c r="F35">
        <v>10</v>
      </c>
      <c r="G35">
        <v>4</v>
      </c>
      <c r="H35">
        <v>86</v>
      </c>
      <c r="I35">
        <v>41</v>
      </c>
      <c r="J35">
        <f t="shared" si="0"/>
        <v>45</v>
      </c>
      <c r="K35">
        <v>82</v>
      </c>
      <c r="L35">
        <v>94.785241999999997</v>
      </c>
      <c r="M35">
        <v>47.398754499999988</v>
      </c>
      <c r="N35">
        <f t="shared" si="1"/>
        <v>47.386487500000008</v>
      </c>
      <c r="O35">
        <v>87.649931999999993</v>
      </c>
      <c r="P35">
        <v>46.637594499999999</v>
      </c>
      <c r="Q35">
        <v>41.012337500000008</v>
      </c>
      <c r="R35">
        <v>8.0318086320768369</v>
      </c>
      <c r="S35">
        <v>19.03294761901298</v>
      </c>
      <c r="T35">
        <v>510</v>
      </c>
      <c r="U35">
        <v>233</v>
      </c>
      <c r="V35">
        <v>76.883699999999976</v>
      </c>
    </row>
    <row r="36" spans="1:22" x14ac:dyDescent="0.3">
      <c r="A36" t="s">
        <v>40</v>
      </c>
      <c r="B36" t="s">
        <v>25</v>
      </c>
      <c r="C36" t="s">
        <v>29</v>
      </c>
      <c r="D36">
        <v>38</v>
      </c>
      <c r="E36">
        <v>28</v>
      </c>
      <c r="F36">
        <v>7</v>
      </c>
      <c r="G36">
        <v>3</v>
      </c>
      <c r="H36">
        <v>96</v>
      </c>
      <c r="I36">
        <v>34</v>
      </c>
      <c r="J36">
        <f t="shared" si="0"/>
        <v>62</v>
      </c>
      <c r="K36">
        <v>91</v>
      </c>
      <c r="L36">
        <v>89.548752999999991</v>
      </c>
      <c r="M36">
        <v>37.271426499999997</v>
      </c>
      <c r="N36">
        <f t="shared" si="1"/>
        <v>52.277326499999994</v>
      </c>
      <c r="O36">
        <v>81.937062999999981</v>
      </c>
      <c r="P36">
        <v>34.987920499999987</v>
      </c>
      <c r="Q36">
        <v>46.949142500000001</v>
      </c>
      <c r="R36">
        <v>11.901744356817471</v>
      </c>
      <c r="S36">
        <v>25.246403897967902</v>
      </c>
      <c r="T36">
        <v>516</v>
      </c>
      <c r="U36">
        <v>155</v>
      </c>
      <c r="V36">
        <v>83.067400000000006</v>
      </c>
    </row>
    <row r="37" spans="1:22" x14ac:dyDescent="0.3">
      <c r="A37" t="s">
        <v>40</v>
      </c>
      <c r="B37" t="s">
        <v>30</v>
      </c>
      <c r="C37" t="s">
        <v>31</v>
      </c>
      <c r="D37">
        <v>38</v>
      </c>
      <c r="E37">
        <v>26</v>
      </c>
      <c r="F37">
        <v>7</v>
      </c>
      <c r="G37">
        <v>5</v>
      </c>
      <c r="H37">
        <v>79</v>
      </c>
      <c r="I37">
        <v>44</v>
      </c>
      <c r="J37">
        <f t="shared" si="0"/>
        <v>35</v>
      </c>
      <c r="K37">
        <v>85</v>
      </c>
      <c r="L37">
        <v>81.758516999999998</v>
      </c>
      <c r="M37">
        <v>45.437118000000012</v>
      </c>
      <c r="N37">
        <f t="shared" si="1"/>
        <v>36.321398999999985</v>
      </c>
      <c r="O37">
        <v>76.555592000000004</v>
      </c>
      <c r="P37">
        <v>43.950574000000003</v>
      </c>
      <c r="Q37">
        <v>32.605017999999987</v>
      </c>
      <c r="R37">
        <v>8.6018786666623068</v>
      </c>
      <c r="S37">
        <v>17.763206894424091</v>
      </c>
      <c r="T37">
        <v>380</v>
      </c>
      <c r="U37">
        <v>213</v>
      </c>
      <c r="V37">
        <v>76.960899999999995</v>
      </c>
    </row>
    <row r="38" spans="1:22" x14ac:dyDescent="0.3">
      <c r="A38" t="s">
        <v>40</v>
      </c>
      <c r="B38" t="s">
        <v>30</v>
      </c>
      <c r="C38" t="s">
        <v>32</v>
      </c>
      <c r="D38">
        <v>38</v>
      </c>
      <c r="E38">
        <v>29</v>
      </c>
      <c r="F38">
        <v>8</v>
      </c>
      <c r="G38">
        <v>1</v>
      </c>
      <c r="H38">
        <v>87</v>
      </c>
      <c r="I38">
        <v>26</v>
      </c>
      <c r="J38">
        <f t="shared" si="0"/>
        <v>61</v>
      </c>
      <c r="K38">
        <v>95</v>
      </c>
      <c r="L38">
        <v>80.882215999999985</v>
      </c>
      <c r="M38">
        <v>39.288384000000008</v>
      </c>
      <c r="N38">
        <f t="shared" si="1"/>
        <v>41.593831999999978</v>
      </c>
      <c r="O38">
        <v>77.092819999999975</v>
      </c>
      <c r="P38">
        <v>38.545105000000007</v>
      </c>
      <c r="Q38">
        <v>38.547714999999997</v>
      </c>
      <c r="R38">
        <v>13.08995615432366</v>
      </c>
      <c r="S38">
        <v>17.725024745381511</v>
      </c>
      <c r="T38">
        <v>381</v>
      </c>
      <c r="U38">
        <v>167</v>
      </c>
      <c r="V38">
        <v>77.376599999999996</v>
      </c>
    </row>
    <row r="39" spans="1:22" x14ac:dyDescent="0.3">
      <c r="A39" t="s">
        <v>40</v>
      </c>
      <c r="B39" t="s">
        <v>30</v>
      </c>
      <c r="C39" t="s">
        <v>33</v>
      </c>
      <c r="D39">
        <v>38</v>
      </c>
      <c r="E39">
        <v>16</v>
      </c>
      <c r="F39">
        <v>12</v>
      </c>
      <c r="G39">
        <v>10</v>
      </c>
      <c r="H39">
        <v>51</v>
      </c>
      <c r="I39">
        <v>39</v>
      </c>
      <c r="J39">
        <f t="shared" si="0"/>
        <v>12</v>
      </c>
      <c r="K39">
        <v>60</v>
      </c>
      <c r="L39">
        <v>49.164116999999997</v>
      </c>
      <c r="M39">
        <v>47.290439999999997</v>
      </c>
      <c r="N39">
        <f t="shared" si="1"/>
        <v>1.8736770000000007</v>
      </c>
      <c r="O39">
        <v>46.191012999999998</v>
      </c>
      <c r="P39">
        <v>42.087516000000001</v>
      </c>
      <c r="Q39">
        <v>4.1034969999999991</v>
      </c>
      <c r="R39">
        <v>7.7567284023808636</v>
      </c>
      <c r="S39">
        <v>13.64987275728946</v>
      </c>
      <c r="T39">
        <v>201</v>
      </c>
      <c r="U39">
        <v>173</v>
      </c>
      <c r="V39">
        <v>52.701000000000008</v>
      </c>
    </row>
    <row r="40" spans="1:22" x14ac:dyDescent="0.3">
      <c r="A40" t="s">
        <v>40</v>
      </c>
      <c r="B40" t="s">
        <v>34</v>
      </c>
      <c r="C40" t="s">
        <v>35</v>
      </c>
      <c r="D40">
        <v>38</v>
      </c>
      <c r="E40">
        <v>22</v>
      </c>
      <c r="F40">
        <v>9</v>
      </c>
      <c r="G40">
        <v>7</v>
      </c>
      <c r="H40">
        <v>76</v>
      </c>
      <c r="I40">
        <v>49</v>
      </c>
      <c r="J40">
        <f t="shared" si="0"/>
        <v>27</v>
      </c>
      <c r="K40">
        <v>75</v>
      </c>
      <c r="L40">
        <v>71.855755000000002</v>
      </c>
      <c r="M40">
        <v>47.731906000000002</v>
      </c>
      <c r="N40">
        <f t="shared" si="1"/>
        <v>24.123849</v>
      </c>
      <c r="O40">
        <v>65.765356999999995</v>
      </c>
      <c r="P40">
        <v>41.641509999999997</v>
      </c>
      <c r="Q40">
        <v>24.123847000000001</v>
      </c>
      <c r="R40">
        <v>12.060577433634171</v>
      </c>
      <c r="S40">
        <v>16.347439224901649</v>
      </c>
      <c r="T40">
        <v>278</v>
      </c>
      <c r="U40">
        <v>186</v>
      </c>
      <c r="V40">
        <v>69.349699999999999</v>
      </c>
    </row>
    <row r="41" spans="1:22" x14ac:dyDescent="0.3">
      <c r="A41" t="s">
        <v>40</v>
      </c>
      <c r="B41" t="s">
        <v>34</v>
      </c>
      <c r="C41" t="s">
        <v>36</v>
      </c>
      <c r="D41">
        <v>38</v>
      </c>
      <c r="E41">
        <v>21</v>
      </c>
      <c r="F41">
        <v>6</v>
      </c>
      <c r="G41">
        <v>11</v>
      </c>
      <c r="H41">
        <v>72</v>
      </c>
      <c r="I41">
        <v>42</v>
      </c>
      <c r="J41">
        <f t="shared" si="0"/>
        <v>30</v>
      </c>
      <c r="K41">
        <v>69</v>
      </c>
      <c r="L41">
        <v>68.469533000000013</v>
      </c>
      <c r="M41">
        <v>44.311951999999998</v>
      </c>
      <c r="N41">
        <f t="shared" si="1"/>
        <v>24.157581000000015</v>
      </c>
      <c r="O41">
        <v>64.663036999999989</v>
      </c>
      <c r="P41">
        <v>37.369929999999997</v>
      </c>
      <c r="Q41">
        <v>27.293106999999999</v>
      </c>
      <c r="R41">
        <v>12.051917438889269</v>
      </c>
      <c r="S41">
        <v>14.083999253535181</v>
      </c>
      <c r="T41">
        <v>308</v>
      </c>
      <c r="U41">
        <v>180</v>
      </c>
      <c r="V41">
        <v>67.436399999999992</v>
      </c>
    </row>
    <row r="42" spans="1:22" x14ac:dyDescent="0.3">
      <c r="A42" t="s">
        <v>40</v>
      </c>
      <c r="B42" t="s">
        <v>34</v>
      </c>
      <c r="C42" t="s">
        <v>37</v>
      </c>
      <c r="D42">
        <v>38</v>
      </c>
      <c r="E42">
        <v>29</v>
      </c>
      <c r="F42">
        <v>7</v>
      </c>
      <c r="G42">
        <v>2</v>
      </c>
      <c r="H42">
        <v>89</v>
      </c>
      <c r="I42">
        <v>22</v>
      </c>
      <c r="J42">
        <f t="shared" si="0"/>
        <v>67</v>
      </c>
      <c r="K42">
        <v>94</v>
      </c>
      <c r="L42">
        <v>85.832780999999997</v>
      </c>
      <c r="M42">
        <v>33.388320299999997</v>
      </c>
      <c r="N42">
        <f t="shared" si="1"/>
        <v>52.4444607</v>
      </c>
      <c r="O42">
        <v>75.084243000000001</v>
      </c>
      <c r="P42">
        <v>30.305700300000002</v>
      </c>
      <c r="Q42">
        <v>44.778542700000003</v>
      </c>
      <c r="R42">
        <v>12.979710157405931</v>
      </c>
      <c r="S42">
        <v>23.875067305548811</v>
      </c>
      <c r="T42">
        <v>349</v>
      </c>
      <c r="U42">
        <v>181</v>
      </c>
      <c r="V42">
        <v>83.075199999999995</v>
      </c>
    </row>
    <row r="43" spans="1:22" x14ac:dyDescent="0.3">
      <c r="A43" t="s">
        <v>40</v>
      </c>
      <c r="B43" t="s">
        <v>34</v>
      </c>
      <c r="C43" t="s">
        <v>38</v>
      </c>
      <c r="D43">
        <v>38</v>
      </c>
      <c r="E43">
        <v>13</v>
      </c>
      <c r="F43">
        <v>14</v>
      </c>
      <c r="G43">
        <v>11</v>
      </c>
      <c r="H43">
        <v>55</v>
      </c>
      <c r="I43">
        <v>48</v>
      </c>
      <c r="J43">
        <f t="shared" si="0"/>
        <v>7</v>
      </c>
      <c r="K43">
        <v>53</v>
      </c>
      <c r="L43">
        <v>68.489395000000002</v>
      </c>
      <c r="M43">
        <v>41.889892999999987</v>
      </c>
      <c r="N43">
        <f t="shared" si="1"/>
        <v>26.599502000000015</v>
      </c>
      <c r="O43">
        <v>60.727988000000003</v>
      </c>
      <c r="P43">
        <v>38.844693999999997</v>
      </c>
      <c r="Q43">
        <v>21.883293999999999</v>
      </c>
      <c r="R43">
        <v>10.39582599840395</v>
      </c>
      <c r="S43">
        <v>20.627369116384951</v>
      </c>
      <c r="T43">
        <v>345</v>
      </c>
      <c r="U43">
        <v>158</v>
      </c>
      <c r="V43">
        <v>68.275199999999998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Jenish T</cp:lastModifiedBy>
  <dcterms:created xsi:type="dcterms:W3CDTF">2025-12-07T08:27:59Z</dcterms:created>
  <dcterms:modified xsi:type="dcterms:W3CDTF">2025-12-07T08:40:18Z</dcterms:modified>
</cp:coreProperties>
</file>